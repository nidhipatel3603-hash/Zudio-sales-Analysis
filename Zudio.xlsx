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8cb84a4537e493/Documents/"/>
    </mc:Choice>
  </mc:AlternateContent>
  <xr:revisionPtr revIDLastSave="9" documentId="8_{3F275194-62F9-4BF0-A138-759E7839F6C5}" xr6:coauthVersionLast="47" xr6:coauthVersionMax="47" xr10:uidLastSave="{B084D131-F0B1-4D29-ADFA-6761C8AD2994}"/>
  <bookViews>
    <workbookView xWindow="-110" yWindow="-110" windowWidth="19420" windowHeight="10300" firstSheet="1" activeTab="4" xr2:uid="{31023D28-1F2A-4E10-915D-753306FBCB2F}"/>
  </bookViews>
  <sheets>
    <sheet name="CUSTOMERS" sheetId="1" r:id="rId1"/>
    <sheet name="ORDERS" sheetId="3" r:id="rId2"/>
    <sheet name="PRODUCTS" sheetId="6" r:id="rId3"/>
    <sheet name="ORDER DETAILS" sheetId="4" r:id="rId4"/>
    <sheet name="STORES" sheetId="7" r:id="rId5"/>
    <sheet name="COMBINE" sheetId="8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2" i="4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<sst xmlns="http://schemas.openxmlformats.org/spreadsheetml/2006/main" count="355" uniqueCount="101">
  <si>
    <t>customer_id</t>
  </si>
  <si>
    <t>gender</t>
  </si>
  <si>
    <t>age_group</t>
  </si>
  <si>
    <t>product_id</t>
  </si>
  <si>
    <t>product_name</t>
  </si>
  <si>
    <t>T-shirt</t>
  </si>
  <si>
    <t>Shirt</t>
  </si>
  <si>
    <t>order_id</t>
  </si>
  <si>
    <t>store_id</t>
  </si>
  <si>
    <t>order_date</t>
  </si>
  <si>
    <t>quantity</t>
  </si>
  <si>
    <t>cost</t>
  </si>
  <si>
    <t>product _id</t>
  </si>
  <si>
    <t xml:space="preserve">category </t>
  </si>
  <si>
    <t xml:space="preserve">price </t>
  </si>
  <si>
    <t>Jeans</t>
  </si>
  <si>
    <t>Hoodie</t>
  </si>
  <si>
    <t>Shorts</t>
  </si>
  <si>
    <t>Track Pants</t>
  </si>
  <si>
    <t>Jacket</t>
  </si>
  <si>
    <t>Polo T-shirt</t>
  </si>
  <si>
    <t>Formal Shirt</t>
  </si>
  <si>
    <t>Denim Jacket</t>
  </si>
  <si>
    <t>Kurti</t>
  </si>
  <si>
    <t>Dress</t>
  </si>
  <si>
    <t>Top</t>
  </si>
  <si>
    <t>Skirt</t>
  </si>
  <si>
    <t>Saree</t>
  </si>
  <si>
    <t>Palazzo</t>
  </si>
  <si>
    <t>Leggings</t>
  </si>
  <si>
    <t>Tunic</t>
  </si>
  <si>
    <t>Co-ord Set</t>
  </si>
  <si>
    <t>Jumpsuit</t>
  </si>
  <si>
    <t>Kids T-shirt</t>
  </si>
  <si>
    <t>Kids Shorts</t>
  </si>
  <si>
    <t>Kids Jeans</t>
  </si>
  <si>
    <t>Kids Dress</t>
  </si>
  <si>
    <t>Kids Hoodie</t>
  </si>
  <si>
    <t>Kids Jacket</t>
  </si>
  <si>
    <t>Kids Track Pants</t>
  </si>
  <si>
    <t>Kids Shirt</t>
  </si>
  <si>
    <t>Kids Skirt</t>
  </si>
  <si>
    <t>Kids Night Suit</t>
  </si>
  <si>
    <t>Sweatshirt</t>
  </si>
  <si>
    <t>Casual Shirt</t>
  </si>
  <si>
    <t>Cargo Pants</t>
  </si>
  <si>
    <t>Sports T-shirt</t>
  </si>
  <si>
    <t>Blazer</t>
  </si>
  <si>
    <t>Ethnic Kurti</t>
  </si>
  <si>
    <t>Anarkali Dress</t>
  </si>
  <si>
    <t>Crop Top</t>
  </si>
  <si>
    <t>Denim Skirt</t>
  </si>
  <si>
    <t>Winter Coat</t>
  </si>
  <si>
    <t>Kids Winter Set</t>
  </si>
  <si>
    <t>Kids Pajama Set</t>
  </si>
  <si>
    <t>Kids Ethnic Wear</t>
  </si>
  <si>
    <t>Kids Party Dress</t>
  </si>
  <si>
    <t>Kids Sweater</t>
  </si>
  <si>
    <t>Cap</t>
  </si>
  <si>
    <t>Belt</t>
  </si>
  <si>
    <t>Scarf</t>
  </si>
  <si>
    <t>Handbag</t>
  </si>
  <si>
    <t>Backpack</t>
  </si>
  <si>
    <t>Men</t>
  </si>
  <si>
    <t>Women</t>
  </si>
  <si>
    <t>Kids</t>
  </si>
  <si>
    <t>city</t>
  </si>
  <si>
    <t>region</t>
  </si>
  <si>
    <t>Delhi</t>
  </si>
  <si>
    <t>Mumbai</t>
  </si>
  <si>
    <t>Jaipur</t>
  </si>
  <si>
    <t>Bangalore</t>
  </si>
  <si>
    <t>Chennai</t>
  </si>
  <si>
    <t>Kolkata</t>
  </si>
  <si>
    <t>Hyderabad</t>
  </si>
  <si>
    <t>Pune</t>
  </si>
  <si>
    <t>Ahmedabad</t>
  </si>
  <si>
    <t>Lucknow</t>
  </si>
  <si>
    <t>North</t>
  </si>
  <si>
    <t>West</t>
  </si>
  <si>
    <t>South</t>
  </si>
  <si>
    <t>East</t>
  </si>
  <si>
    <t>Revenue</t>
  </si>
  <si>
    <t>Profit</t>
  </si>
  <si>
    <t>Sum of Revenue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</si>
  <si>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</si>
  <si>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</si>
  <si>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</si>
  <si>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</si>
  <si>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</si>
  <si>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</si>
  <si>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</si>
  <si>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</si>
  <si>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</si>
  <si>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</si>
  <si>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</si>
  <si>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</si>
  <si>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</si>
  <si>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</si>
  <si>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Chandigarh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</si>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</sst>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u="sng">
                <a:solidFill>
                  <a:srgbClr val="002060"/>
                </a:solidFill>
              </a:rPr>
              <a:t>CATEGORY-WISE</a:t>
            </a:r>
            <a:r>
              <a:rPr lang="en-US" sz="1400" u="sng" baseline="0">
                <a:solidFill>
                  <a:srgbClr val="002060"/>
                </a:solidFill>
              </a:rPr>
              <a:t> REVENUE</a:t>
            </a:r>
            <a:endParaRPr lang="en-US" sz="1400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2855314960629921"/>
          <c:y val="0.13461894286712855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4.6296296296296511E-3"/>
              <c:y val="-0.26109660574412535"/>
            </c:manualLayout>
          </c:layout>
          <c:tx>
            <c:rich>
              <a:bodyPr/>
              <a:lstStyle/>
              <a:p>
                <a:r>
                  <a:rPr lang="en-US"/>
                  <a:t>45,005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6296296296295444E-3"/>
              <c:y val="-0.19321148825065268"/>
            </c:manualLayout>
          </c:layout>
          <c:tx>
            <c:rich>
              <a:bodyPr/>
              <a:lstStyle/>
              <a:p>
                <a:r>
                  <a:rPr lang="en-US"/>
                  <a:t>31,153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4875562720133283E-17"/>
              <c:y val="-0.21932114882506532"/>
            </c:manualLayout>
          </c:layout>
          <c:tx>
            <c:rich>
              <a:bodyPr/>
              <a:lstStyle/>
              <a:p>
                <a:r>
                  <a:rPr lang="en-US"/>
                  <a:t>35,750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31-4679-B147-D5534DBAC48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31-4679-B147-D5534DBAC48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31-4679-B147-D5534DBAC485}"/>
              </c:ext>
            </c:extLst>
          </c:dPt>
          <c:dLbls>
            <c:dLbl>
              <c:idx val="0"/>
              <c:layout>
                <c:manualLayout>
                  <c:x val="-4.6296296296296511E-3"/>
                  <c:y val="-0.2610966057441253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45,005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131-4679-B147-D5534DBAC485}"/>
                </c:ext>
              </c:extLst>
            </c:dLbl>
            <c:dLbl>
              <c:idx val="1"/>
              <c:layout>
                <c:manualLayout>
                  <c:x val="4.6296296296295444E-3"/>
                  <c:y val="-0.1932114882506526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31,153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131-4679-B147-D5534DBAC485}"/>
                </c:ext>
              </c:extLst>
            </c:dLbl>
            <c:dLbl>
              <c:idx val="2"/>
              <c:layout>
                <c:manualLayout>
                  <c:x val="-8.4875562720133283E-17"/>
                  <c:y val="-0.2193211488250653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35,750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31-4679-B147-D5534DBAC4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Kids</c:v>
              </c:pt>
              <c:pt idx="1">
                <c:v>Men</c:v>
              </c:pt>
              <c:pt idx="2">
                <c:v>Women</c:v>
              </c:pt>
            </c:strLit>
          </c:cat>
          <c:val>
            <c:numLit>
              <c:formatCode>General</c:formatCode>
              <c:ptCount val="3"/>
              <c:pt idx="0">
                <c:v>45005</c:v>
              </c:pt>
              <c:pt idx="1">
                <c:v>31153</c:v>
              </c:pt>
              <c:pt idx="2">
                <c:v>35750</c:v>
              </c:pt>
            </c:numLit>
          </c:val>
          <c:extLst>
            <c:ext xmlns:c16="http://schemas.microsoft.com/office/drawing/2014/chart" uri="{C3380CC4-5D6E-409C-BE32-E72D297353CC}">
              <c16:uniqueId val="{00000000-1131-4679-B147-D5534DBAC4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32460607"/>
        <c:axId val="232454847"/>
      </c:barChart>
      <c:catAx>
        <c:axId val="23246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454847"/>
        <c:crosses val="autoZero"/>
        <c:auto val="1"/>
        <c:lblAlgn val="ctr"/>
        <c:lblOffset val="100"/>
        <c:noMultiLvlLbl val="0"/>
      </c:catAx>
      <c:valAx>
        <c:axId val="2324548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46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rgbClr val="002060"/>
                </a:solidFill>
              </a:rPr>
              <a:t>MONTHLY</a:t>
            </a:r>
            <a:r>
              <a:rPr lang="en-US" sz="1600" b="1" u="sng" baseline="0">
                <a:solidFill>
                  <a:srgbClr val="002060"/>
                </a:solidFill>
              </a:rPr>
              <a:t> REVENUE</a:t>
            </a:r>
            <a:endParaRPr lang="en-US" sz="1600" b="1" u="sng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311192779259306"/>
          <c:y val="6.4090909090909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9268754196423"/>
          <c:y val="0.18270257695060846"/>
          <c:w val="0.67182445217603615"/>
          <c:h val="0.59878453829634926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45347</c:v>
              </c:pt>
              <c:pt idx="1">
                <c:v>35706</c:v>
              </c:pt>
              <c:pt idx="2">
                <c:v>49084</c:v>
              </c:pt>
              <c:pt idx="3">
                <c:v>35840</c:v>
              </c:pt>
              <c:pt idx="4">
                <c:v>36601</c:v>
              </c:pt>
              <c:pt idx="5">
                <c:v>32759</c:v>
              </c:pt>
              <c:pt idx="6">
                <c:v>29113</c:v>
              </c:pt>
              <c:pt idx="7">
                <c:v>51239</c:v>
              </c:pt>
              <c:pt idx="8">
                <c:v>68731</c:v>
              </c:pt>
              <c:pt idx="9">
                <c:v>61626</c:v>
              </c:pt>
              <c:pt idx="10">
                <c:v>30811</c:v>
              </c:pt>
              <c:pt idx="11">
                <c:v>35462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847-45A7-A82D-80B5D3E8F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635263"/>
        <c:axId val="1262634783"/>
      </c:lineChart>
      <c:catAx>
        <c:axId val="126263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634783"/>
        <c:crosses val="autoZero"/>
        <c:auto val="1"/>
        <c:lblAlgn val="ctr"/>
        <c:lblOffset val="100"/>
        <c:noMultiLvlLbl val="0"/>
      </c:catAx>
      <c:valAx>
        <c:axId val="12626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63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4732930427789"/>
          <c:y val="0.70406800286327842"/>
          <c:w val="0.19775267069572217"/>
          <c:h val="8.0114173228346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0</xdr:row>
      <xdr:rowOff>0</xdr:rowOff>
    </xdr:from>
    <xdr:to>
      <xdr:col>14</xdr:col>
      <xdr:colOff>247650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1377B-CA5F-481F-B35A-3020F529B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584200</xdr:colOff>
      <xdr:row>14</xdr:row>
      <xdr:rowOff>139700</xdr:rowOff>
    </xdr:from>
    <xdr:to>
      <xdr:col>15</xdr:col>
      <xdr:colOff>57150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49C7D2-A691-4A00-B148-356E59F6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HI PATEL" refreshedDate="46114.625609374998" createdVersion="8" refreshedVersion="8" minRefreshableVersion="3" recordCount="400" xr:uid="{60E50F41-C3CA-489E-81FC-DDC50AFDBDB4}">
  <cacheSource type="worksheet">
    <worksheetSource ref="A1:F401" sheet="ORDER DETAILS"/>
  </cacheSource>
  <cacheFields count="6">
    <cacheField name="order_id" numFmtId="0">
      <sharedItems containsSemiMixedTypes="0" containsString="0" containsNumber="1" containsInteger="1" minValue="1" maxValue="200"/>
    </cacheField>
    <cacheField name="product_id" numFmtId="0">
      <sharedItems containsSemiMixedTypes="0" containsString="0" containsNumber="1" containsInteger="1" minValue="1" maxValue="25" count="25">
        <n v="23"/>
        <n v="2"/>
        <n v="9"/>
        <n v="21"/>
        <n v="8"/>
        <n v="25"/>
        <n v="4"/>
        <n v="17"/>
        <n v="18"/>
        <n v="13"/>
        <n v="1"/>
        <n v="22"/>
        <n v="16"/>
        <n v="20"/>
        <n v="11"/>
        <n v="24"/>
        <n v="14"/>
        <n v="19"/>
        <n v="12"/>
        <n v="15"/>
        <n v="10"/>
        <n v="7"/>
        <n v="3"/>
        <n v="6"/>
        <n v="5"/>
      </sharedItems>
    </cacheField>
    <cacheField name="quantity" numFmtId="0">
      <sharedItems containsSemiMixedTypes="0" containsString="0" containsNumber="1" containsInteger="1" minValue="1" maxValue="5" count="5">
        <n v="4"/>
        <n v="2"/>
        <n v="1"/>
        <n v="3"/>
        <n v="5"/>
      </sharedItems>
    </cacheField>
    <cacheField name="Revenue" numFmtId="0">
      <sharedItems containsSemiMixedTypes="0" containsString="0" containsNumber="1" containsInteger="1" minValue="299" maxValue="7995"/>
    </cacheField>
    <cacheField name="Profit" numFmtId="0">
      <sharedItems containsSemiMixedTypes="0" containsString="0" containsNumber="1" containsInteger="1" minValue="149" maxValue="3245"/>
    </cacheField>
    <cacheField name="category " numFmtId="0">
      <sharedItems containsBlank="1" count="4">
        <s v="Men"/>
        <s v="Women"/>
        <s v="Kid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HI PATEL" refreshedDate="46114.633494560185" createdVersion="8" refreshedVersion="8" minRefreshableVersion="3" recordCount="400" xr:uid="{DBAD838B-F529-4198-9D3E-4F59906EDEA7}">
  <cacheSource type="worksheet">
    <worksheetSource ref="A1:G401" sheet="ORDER DETAILS"/>
  </cacheSource>
  <cacheFields count="9">
    <cacheField name="order_id" numFmtId="0">
      <sharedItems containsSemiMixedTypes="0" containsString="0" containsNumber="1" containsInteger="1" minValue="1" maxValue="200"/>
    </cacheField>
    <cacheField name="product_id" numFmtId="0">
      <sharedItems containsSemiMixedTypes="0" containsString="0" containsNumber="1" containsInteger="1" minValue="1" maxValue="25"/>
    </cacheField>
    <cacheField name="quantity" numFmtId="0">
      <sharedItems containsSemiMixedTypes="0" containsString="0" containsNumber="1" containsInteger="1" minValue="1" maxValue="5"/>
    </cacheField>
    <cacheField name="Revenue" numFmtId="0">
      <sharedItems containsSemiMixedTypes="0" containsString="0" containsNumber="1" containsInteger="1" minValue="299" maxValue="7995"/>
    </cacheField>
    <cacheField name="Profit" numFmtId="0">
      <sharedItems containsSemiMixedTypes="0" containsString="0" containsNumber="1" containsInteger="1" minValue="149" maxValue="3245"/>
    </cacheField>
    <cacheField name="category " numFmtId="0">
      <sharedItems containsBlank="1"/>
    </cacheField>
    <cacheField name="order_date" numFmtId="0">
      <sharedItems containsNonDate="0" containsDate="1" containsString="0" containsBlank="1" minDate="2025-01-05T00:00:00" maxDate="2025-12-29T00:00:00" count="153">
        <d v="2025-03-27T00:00:00"/>
        <d v="2025-06-27T00:00:00"/>
        <d v="2025-10-27T00:00:00"/>
        <d v="2025-03-15T00:00:00"/>
        <d v="2025-10-04T00:00:00"/>
        <d v="2025-11-20T00:00:00"/>
        <d v="2025-06-07T00:00:00"/>
        <d v="2025-09-27T00:00:00"/>
        <d v="2025-03-24T00:00:00"/>
        <d v="2025-08-09T00:00:00"/>
        <d v="2025-09-22T00:00:00"/>
        <d v="2025-03-12T00:00:00"/>
        <d v="2025-11-02T00:00:00"/>
        <d v="2025-04-27T00:00:00"/>
        <d v="2025-02-24T00:00:00"/>
        <d v="2025-05-04T00:00:00"/>
        <d v="2025-10-13T00:00:00"/>
        <d v="2025-09-06T00:00:00"/>
        <d v="2025-05-18T00:00:00"/>
        <d v="2025-08-07T00:00:00"/>
        <d v="2025-12-21T00:00:00"/>
        <d v="2025-07-06T00:00:00"/>
        <d v="2025-01-05T00:00:00"/>
        <d v="2025-06-10T00:00:00"/>
        <d v="2025-11-24T00:00:00"/>
        <d v="2025-06-25T00:00:00"/>
        <d v="2025-10-05T00:00:00"/>
        <d v="2025-05-24T00:00:00"/>
        <d v="2025-02-22T00:00:00"/>
        <d v="2025-05-20T00:00:00"/>
        <d v="2025-07-14T00:00:00"/>
        <d v="2025-03-04T00:00:00"/>
        <d v="2025-09-09T00:00:00"/>
        <d v="2025-01-14T00:00:00"/>
        <d v="2025-05-01T00:00:00"/>
        <d v="2025-12-22T00:00:00"/>
        <d v="2025-12-28T00:00:00"/>
        <d v="2025-06-01T00:00:00"/>
        <d v="2025-11-13T00:00:00"/>
        <d v="2025-05-15T00:00:00"/>
        <d v="2025-02-17T00:00:00"/>
        <d v="2025-02-18T00:00:00"/>
        <d v="2025-09-05T00:00:00"/>
        <d v="2025-10-07T00:00:00"/>
        <d v="2025-01-15T00:00:00"/>
        <d v="2025-07-13T00:00:00"/>
        <d v="2025-06-18T00:00:00"/>
        <d v="2025-07-10T00:00:00"/>
        <d v="2025-09-02T00:00:00"/>
        <d v="2025-12-10T00:00:00"/>
        <d v="2025-04-26T00:00:00"/>
        <d v="2025-08-27T00:00:00"/>
        <d v="2025-11-06T00:00:00"/>
        <d v="2025-07-19T00:00:00"/>
        <d v="2025-03-16T00:00:00"/>
        <d v="2025-08-17T00:00:00"/>
        <d v="2025-08-24T00:00:00"/>
        <d v="2025-08-02T00:00:00"/>
        <d v="2025-04-01T00:00:00"/>
        <d v="2025-09-10T00:00:00"/>
        <d v="2025-06-06T00:00:00"/>
        <d v="2025-07-08T00:00:00"/>
        <d v="2025-05-27T00:00:00"/>
        <d v="2025-11-01T00:00:00"/>
        <d v="2025-05-02T00:00:00"/>
        <d v="2025-03-17T00:00:00"/>
        <d v="2025-10-02T00:00:00"/>
        <d v="2025-02-01T00:00:00"/>
        <d v="2025-09-11T00:00:00"/>
        <d v="2025-10-26T00:00:00"/>
        <d v="2025-01-13T00:00:00"/>
        <d v="2025-03-14T00:00:00"/>
        <d v="2025-04-24T00:00:00"/>
        <d v="2025-03-18T00:00:00"/>
        <d v="2025-04-17T00:00:00"/>
        <d v="2025-03-05T00:00:00"/>
        <d v="2025-10-18T00:00:00"/>
        <d v="2025-09-16T00:00:00"/>
        <d v="2025-12-06T00:00:00"/>
        <d v="2025-02-28T00:00:00"/>
        <d v="2025-10-20T00:00:00"/>
        <d v="2025-10-01T00:00:00"/>
        <d v="2025-08-23T00:00:00"/>
        <d v="2025-05-19T00:00:00"/>
        <d v="2025-01-24T00:00:00"/>
        <d v="2025-11-07T00:00:00"/>
        <d v="2025-12-11T00:00:00"/>
        <d v="2025-02-14T00:00:00"/>
        <d v="2025-11-04T00:00:00"/>
        <d v="2025-09-18T00:00:00"/>
        <d v="2025-01-19T00:00:00"/>
        <d v="2025-01-16T00:00:00"/>
        <d v="2025-01-23T00:00:00"/>
        <d v="2025-03-06T00:00:00"/>
        <d v="2025-11-26T00:00:00"/>
        <d v="2025-08-25T00:00:00"/>
        <d v="2025-06-03T00:00:00"/>
        <d v="2025-12-13T00:00:00"/>
        <d v="2025-12-09T00:00:00"/>
        <d v="2025-01-27T00:00:00"/>
        <d v="2025-09-03T00:00:00"/>
        <d v="2025-03-10T00:00:00"/>
        <d v="2025-07-03T00:00:00"/>
        <d v="2025-10-10T00:00:00"/>
        <d v="2025-08-05T00:00:00"/>
        <d v="2025-12-19T00:00:00"/>
        <d v="2025-12-24T00:00:00"/>
        <d v="2025-07-20T00:00:00"/>
        <d v="2025-07-21T00:00:00"/>
        <d v="2025-02-23T00:00:00"/>
        <d v="2025-05-08T00:00:00"/>
        <d v="2025-01-12T00:00:00"/>
        <d v="2025-09-04T00:00:00"/>
        <d v="2025-09-17T00:00:00"/>
        <d v="2025-06-08T00:00:00"/>
        <d v="2025-03-09T00:00:00"/>
        <d v="2025-01-06T00:00:00"/>
        <d v="2025-10-22T00:00:00"/>
        <d v="2025-11-28T00:00:00"/>
        <d v="2025-10-17T00:00:00"/>
        <d v="2025-06-23T00:00:00"/>
        <d v="2025-04-20T00:00:00"/>
        <d v="2025-09-13T00:00:00"/>
        <d v="2025-06-28T00:00:00"/>
        <d v="2025-11-05T00:00:00"/>
        <d v="2025-12-05T00:00:00"/>
        <d v="2025-09-20T00:00:00"/>
        <d v="2025-04-21T00:00:00"/>
        <d v="2025-03-07T00:00:00"/>
        <d v="2025-01-20T00:00:00"/>
        <d v="2025-02-08T00:00:00"/>
        <d v="2025-03-11T00:00:00"/>
        <d v="2025-03-21T00:00:00"/>
        <d v="2025-07-07T00:00:00"/>
        <d v="2025-07-22T00:00:00"/>
        <d v="2025-08-08T00:00:00"/>
        <d v="2025-04-06T00:00:00"/>
        <d v="2025-05-17T00:00:00"/>
        <d v="2025-10-06T00:00:00"/>
        <d v="2025-08-10T00:00:00"/>
        <d v="2025-07-28T00:00:00"/>
        <d v="2025-04-11T00:00:00"/>
        <d v="2025-05-14T00:00:00"/>
        <d v="2025-01-10T00:00:00"/>
        <d v="2025-03-08T00:00:00"/>
        <d v="2025-09-21T00:00:00"/>
        <d v="2025-10-23T00:00:00"/>
        <d v="2025-10-11T00:00:00"/>
        <d v="2025-09-25T00:00:00"/>
        <d v="2025-01-07T00:00:00"/>
        <d v="2025-08-22T00:00:00"/>
        <d v="2025-12-04T00:00:00"/>
        <m/>
      </sharedItems>
      <fieldGroup par="8"/>
    </cacheField>
    <cacheField name="Days (order_date)" numFmtId="0" databaseField="0">
      <fieldGroup base="6">
        <rangePr groupBy="days" startDate="2025-01-05T00:00:00" endDate="2025-12-29T00:00:00"/>
        <groupItems count="368">
          <s v="&lt;05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5"/>
        </groupItems>
      </fieldGroup>
    </cacheField>
    <cacheField name="Months (order_date)" numFmtId="0" databaseField="0">
      <fieldGroup base="6">
        <rangePr groupBy="months" startDate="2025-01-05T00:00:00" endDate="2025-12-29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28"/>
    <x v="0"/>
    <x v="0"/>
    <n v="2396"/>
    <n v="1196"/>
    <x v="0"/>
  </r>
  <r>
    <n v="37"/>
    <x v="1"/>
    <x v="1"/>
    <n v="1998"/>
    <n v="798"/>
    <x v="0"/>
  </r>
  <r>
    <n v="154"/>
    <x v="2"/>
    <x v="1"/>
    <n v="1798"/>
    <n v="798"/>
    <x v="0"/>
  </r>
  <r>
    <n v="179"/>
    <x v="3"/>
    <x v="2"/>
    <n v="299"/>
    <n v="149"/>
    <x v="0"/>
  </r>
  <r>
    <n v="4"/>
    <x v="0"/>
    <x v="3"/>
    <n v="1797"/>
    <n v="897"/>
    <x v="0"/>
  </r>
  <r>
    <n v="105"/>
    <x v="4"/>
    <x v="3"/>
    <n v="1797"/>
    <n v="897"/>
    <x v="0"/>
  </r>
  <r>
    <n v="125"/>
    <x v="5"/>
    <x v="0"/>
    <n v="3196"/>
    <n v="1596"/>
    <x v="0"/>
  </r>
  <r>
    <n v="165"/>
    <x v="6"/>
    <x v="3"/>
    <n v="3597"/>
    <n v="1497"/>
    <x v="0"/>
  </r>
  <r>
    <n v="108"/>
    <x v="7"/>
    <x v="2"/>
    <n v="399"/>
    <n v="199"/>
    <x v="0"/>
  </r>
  <r>
    <n v="189"/>
    <x v="1"/>
    <x v="3"/>
    <n v="2997"/>
    <n v="1197"/>
    <x v="0"/>
  </r>
  <r>
    <n v="179"/>
    <x v="7"/>
    <x v="2"/>
    <n v="399"/>
    <n v="199"/>
    <x v="1"/>
  </r>
  <r>
    <n v="72"/>
    <x v="8"/>
    <x v="2"/>
    <n v="799"/>
    <n v="349"/>
    <x v="1"/>
  </r>
  <r>
    <n v="137"/>
    <x v="9"/>
    <x v="4"/>
    <n v="2495"/>
    <n v="1245"/>
    <x v="1"/>
  </r>
  <r>
    <n v="21"/>
    <x v="10"/>
    <x v="3"/>
    <n v="1497"/>
    <n v="747"/>
    <x v="1"/>
  </r>
  <r>
    <n v="116"/>
    <x v="11"/>
    <x v="0"/>
    <n v="1396"/>
    <n v="676"/>
    <x v="1"/>
  </r>
  <r>
    <n v="114"/>
    <x v="10"/>
    <x v="4"/>
    <n v="2495"/>
    <n v="1245"/>
    <x v="1"/>
  </r>
  <r>
    <n v="36"/>
    <x v="10"/>
    <x v="4"/>
    <n v="2495"/>
    <n v="1245"/>
    <x v="1"/>
  </r>
  <r>
    <n v="25"/>
    <x v="12"/>
    <x v="1"/>
    <n v="1198"/>
    <n v="598"/>
    <x v="1"/>
  </r>
  <r>
    <n v="96"/>
    <x v="1"/>
    <x v="0"/>
    <n v="3996"/>
    <n v="1596"/>
    <x v="1"/>
  </r>
  <r>
    <n v="85"/>
    <x v="12"/>
    <x v="1"/>
    <n v="1198"/>
    <n v="598"/>
    <x v="1"/>
  </r>
  <r>
    <n v="179"/>
    <x v="13"/>
    <x v="3"/>
    <n v="4197"/>
    <n v="1647"/>
    <x v="2"/>
  </r>
  <r>
    <n v="79"/>
    <x v="14"/>
    <x v="1"/>
    <n v="1598"/>
    <n v="798"/>
    <x v="2"/>
  </r>
  <r>
    <n v="200"/>
    <x v="6"/>
    <x v="3"/>
    <n v="3597"/>
    <n v="1497"/>
    <x v="2"/>
  </r>
  <r>
    <n v="173"/>
    <x v="15"/>
    <x v="0"/>
    <n v="2796"/>
    <n v="1396"/>
    <x v="2"/>
  </r>
  <r>
    <n v="16"/>
    <x v="5"/>
    <x v="2"/>
    <n v="799"/>
    <n v="399"/>
    <x v="2"/>
  </r>
  <r>
    <n v="162"/>
    <x v="11"/>
    <x v="3"/>
    <n v="1047"/>
    <n v="507"/>
    <x v="2"/>
  </r>
  <r>
    <n v="16"/>
    <x v="12"/>
    <x v="2"/>
    <n v="599"/>
    <n v="299"/>
    <x v="2"/>
  </r>
  <r>
    <n v="186"/>
    <x v="15"/>
    <x v="2"/>
    <n v="699"/>
    <n v="349"/>
    <x v="2"/>
  </r>
  <r>
    <n v="54"/>
    <x v="16"/>
    <x v="2"/>
    <n v="699"/>
    <n v="349"/>
    <x v="2"/>
  </r>
  <r>
    <n v="4"/>
    <x v="17"/>
    <x v="4"/>
    <n v="6495"/>
    <n v="2495"/>
    <x v="2"/>
  </r>
  <r>
    <n v="167"/>
    <x v="16"/>
    <x v="2"/>
    <n v="699"/>
    <n v="349"/>
    <x v="0"/>
  </r>
  <r>
    <n v="125"/>
    <x v="3"/>
    <x v="3"/>
    <n v="897"/>
    <n v="447"/>
    <x v="0"/>
  </r>
  <r>
    <n v="23"/>
    <x v="10"/>
    <x v="4"/>
    <n v="2495"/>
    <n v="1245"/>
    <x v="0"/>
  </r>
  <r>
    <n v="17"/>
    <x v="12"/>
    <x v="0"/>
    <n v="2396"/>
    <n v="1196"/>
    <x v="0"/>
  </r>
  <r>
    <n v="59"/>
    <x v="8"/>
    <x v="2"/>
    <n v="799"/>
    <n v="349"/>
    <x v="0"/>
  </r>
  <r>
    <n v="109"/>
    <x v="18"/>
    <x v="1"/>
    <n v="2398"/>
    <n v="998"/>
    <x v="1"/>
  </r>
  <r>
    <n v="23"/>
    <x v="19"/>
    <x v="1"/>
    <n v="2998"/>
    <n v="1198"/>
    <x v="1"/>
  </r>
  <r>
    <n v="85"/>
    <x v="20"/>
    <x v="2"/>
    <n v="1599"/>
    <n v="649"/>
    <x v="1"/>
  </r>
  <r>
    <n v="24"/>
    <x v="8"/>
    <x v="3"/>
    <n v="2397"/>
    <n v="1047"/>
    <x v="1"/>
  </r>
  <r>
    <n v="189"/>
    <x v="5"/>
    <x v="3"/>
    <n v="2397"/>
    <n v="1197"/>
    <x v="1"/>
  </r>
  <r>
    <n v="139"/>
    <x v="6"/>
    <x v="1"/>
    <n v="2398"/>
    <n v="998"/>
    <x v="2"/>
  </r>
  <r>
    <n v="137"/>
    <x v="6"/>
    <x v="3"/>
    <n v="3597"/>
    <n v="1497"/>
    <x v="2"/>
  </r>
  <r>
    <n v="180"/>
    <x v="6"/>
    <x v="4"/>
    <n v="5995"/>
    <n v="2495"/>
    <x v="2"/>
  </r>
  <r>
    <n v="102"/>
    <x v="18"/>
    <x v="3"/>
    <n v="3597"/>
    <n v="1497"/>
    <x v="2"/>
  </r>
  <r>
    <n v="65"/>
    <x v="2"/>
    <x v="4"/>
    <n v="4495"/>
    <n v="1995"/>
    <x v="2"/>
  </r>
  <r>
    <n v="97"/>
    <x v="12"/>
    <x v="4"/>
    <n v="2995"/>
    <n v="1495"/>
    <x v="0"/>
  </r>
  <r>
    <n v="165"/>
    <x v="3"/>
    <x v="1"/>
    <n v="598"/>
    <n v="298"/>
    <x v="0"/>
  </r>
  <r>
    <n v="176"/>
    <x v="4"/>
    <x v="4"/>
    <n v="2995"/>
    <n v="1495"/>
    <x v="1"/>
  </r>
  <r>
    <n v="198"/>
    <x v="21"/>
    <x v="1"/>
    <n v="2998"/>
    <n v="1198"/>
    <x v="1"/>
  </r>
  <r>
    <n v="154"/>
    <x v="22"/>
    <x v="3"/>
    <n v="2397"/>
    <n v="1047"/>
    <x v="2"/>
  </r>
  <r>
    <n v="87"/>
    <x v="9"/>
    <x v="4"/>
    <n v="2495"/>
    <n v="1245"/>
    <x v="3"/>
  </r>
  <r>
    <n v="9"/>
    <x v="3"/>
    <x v="3"/>
    <n v="897"/>
    <n v="447"/>
    <x v="3"/>
  </r>
  <r>
    <n v="68"/>
    <x v="10"/>
    <x v="2"/>
    <n v="499"/>
    <n v="249"/>
    <x v="3"/>
  </r>
  <r>
    <n v="65"/>
    <x v="9"/>
    <x v="4"/>
    <n v="2495"/>
    <n v="1245"/>
    <x v="3"/>
  </r>
  <r>
    <n v="74"/>
    <x v="16"/>
    <x v="3"/>
    <n v="2097"/>
    <n v="1047"/>
    <x v="3"/>
  </r>
  <r>
    <n v="143"/>
    <x v="19"/>
    <x v="0"/>
    <n v="5996"/>
    <n v="2396"/>
    <x v="3"/>
  </r>
  <r>
    <n v="37"/>
    <x v="18"/>
    <x v="0"/>
    <n v="4796"/>
    <n v="1996"/>
    <x v="3"/>
  </r>
  <r>
    <n v="120"/>
    <x v="20"/>
    <x v="3"/>
    <n v="4797"/>
    <n v="1947"/>
    <x v="3"/>
  </r>
  <r>
    <n v="110"/>
    <x v="15"/>
    <x v="4"/>
    <n v="3495"/>
    <n v="1745"/>
    <x v="3"/>
  </r>
  <r>
    <n v="110"/>
    <x v="22"/>
    <x v="1"/>
    <n v="1598"/>
    <n v="698"/>
    <x v="3"/>
  </r>
  <r>
    <n v="153"/>
    <x v="16"/>
    <x v="3"/>
    <n v="2097"/>
    <n v="1047"/>
    <x v="3"/>
  </r>
  <r>
    <n v="121"/>
    <x v="10"/>
    <x v="3"/>
    <n v="1497"/>
    <n v="747"/>
    <x v="3"/>
  </r>
  <r>
    <n v="62"/>
    <x v="11"/>
    <x v="0"/>
    <n v="1396"/>
    <n v="676"/>
    <x v="3"/>
  </r>
  <r>
    <n v="44"/>
    <x v="8"/>
    <x v="1"/>
    <n v="1598"/>
    <n v="698"/>
    <x v="3"/>
  </r>
  <r>
    <n v="183"/>
    <x v="22"/>
    <x v="0"/>
    <n v="3196"/>
    <n v="1396"/>
    <x v="3"/>
  </r>
  <r>
    <n v="6"/>
    <x v="15"/>
    <x v="1"/>
    <n v="1398"/>
    <n v="698"/>
    <x v="3"/>
  </r>
  <r>
    <n v="140"/>
    <x v="15"/>
    <x v="4"/>
    <n v="3495"/>
    <n v="1745"/>
    <x v="3"/>
  </r>
  <r>
    <n v="13"/>
    <x v="23"/>
    <x v="0"/>
    <n v="2796"/>
    <n v="1396"/>
    <x v="3"/>
  </r>
  <r>
    <n v="94"/>
    <x v="23"/>
    <x v="4"/>
    <n v="3495"/>
    <n v="1745"/>
    <x v="3"/>
  </r>
  <r>
    <n v="102"/>
    <x v="4"/>
    <x v="3"/>
    <n v="1797"/>
    <n v="897"/>
    <x v="3"/>
  </r>
  <r>
    <n v="17"/>
    <x v="2"/>
    <x v="3"/>
    <n v="2697"/>
    <n v="1197"/>
    <x v="3"/>
  </r>
  <r>
    <n v="51"/>
    <x v="22"/>
    <x v="4"/>
    <n v="3995"/>
    <n v="1745"/>
    <x v="3"/>
  </r>
  <r>
    <n v="2"/>
    <x v="4"/>
    <x v="0"/>
    <n v="2396"/>
    <n v="1196"/>
    <x v="3"/>
  </r>
  <r>
    <n v="104"/>
    <x v="16"/>
    <x v="2"/>
    <n v="699"/>
    <n v="349"/>
    <x v="3"/>
  </r>
  <r>
    <n v="2"/>
    <x v="3"/>
    <x v="4"/>
    <n v="1495"/>
    <n v="745"/>
    <x v="3"/>
  </r>
  <r>
    <n v="80"/>
    <x v="13"/>
    <x v="2"/>
    <n v="1399"/>
    <n v="549"/>
    <x v="3"/>
  </r>
  <r>
    <n v="18"/>
    <x v="18"/>
    <x v="2"/>
    <n v="1199"/>
    <n v="499"/>
    <x v="3"/>
  </r>
  <r>
    <n v="186"/>
    <x v="13"/>
    <x v="4"/>
    <n v="6995"/>
    <n v="2745"/>
    <x v="3"/>
  </r>
  <r>
    <n v="140"/>
    <x v="5"/>
    <x v="1"/>
    <n v="1598"/>
    <n v="798"/>
    <x v="3"/>
  </r>
  <r>
    <n v="183"/>
    <x v="18"/>
    <x v="2"/>
    <n v="1199"/>
    <n v="499"/>
    <x v="3"/>
  </r>
  <r>
    <n v="39"/>
    <x v="16"/>
    <x v="0"/>
    <n v="2796"/>
    <n v="1396"/>
    <x v="3"/>
  </r>
  <r>
    <n v="143"/>
    <x v="23"/>
    <x v="2"/>
    <n v="699"/>
    <n v="349"/>
    <x v="3"/>
  </r>
  <r>
    <n v="127"/>
    <x v="24"/>
    <x v="3"/>
    <n v="1197"/>
    <n v="597"/>
    <x v="3"/>
  </r>
  <r>
    <n v="20"/>
    <x v="4"/>
    <x v="4"/>
    <n v="2995"/>
    <n v="1495"/>
    <x v="3"/>
  </r>
  <r>
    <n v="47"/>
    <x v="16"/>
    <x v="3"/>
    <n v="2097"/>
    <n v="1047"/>
    <x v="3"/>
  </r>
  <r>
    <n v="133"/>
    <x v="8"/>
    <x v="2"/>
    <n v="799"/>
    <n v="349"/>
    <x v="3"/>
  </r>
  <r>
    <n v="47"/>
    <x v="10"/>
    <x v="2"/>
    <n v="499"/>
    <n v="249"/>
    <x v="3"/>
  </r>
  <r>
    <n v="107"/>
    <x v="8"/>
    <x v="2"/>
    <n v="799"/>
    <n v="349"/>
    <x v="3"/>
  </r>
  <r>
    <n v="189"/>
    <x v="13"/>
    <x v="3"/>
    <n v="4197"/>
    <n v="1647"/>
    <x v="3"/>
  </r>
  <r>
    <n v="170"/>
    <x v="2"/>
    <x v="4"/>
    <n v="4495"/>
    <n v="1995"/>
    <x v="3"/>
  </r>
  <r>
    <n v="4"/>
    <x v="12"/>
    <x v="1"/>
    <n v="1198"/>
    <n v="598"/>
    <x v="3"/>
  </r>
  <r>
    <n v="142"/>
    <x v="20"/>
    <x v="0"/>
    <n v="6396"/>
    <n v="2596"/>
    <x v="3"/>
  </r>
  <r>
    <n v="168"/>
    <x v="15"/>
    <x v="3"/>
    <n v="2097"/>
    <n v="1047"/>
    <x v="3"/>
  </r>
  <r>
    <n v="164"/>
    <x v="18"/>
    <x v="3"/>
    <n v="3597"/>
    <n v="1497"/>
    <x v="3"/>
  </r>
  <r>
    <n v="28"/>
    <x v="2"/>
    <x v="4"/>
    <n v="4495"/>
    <n v="1995"/>
    <x v="3"/>
  </r>
  <r>
    <n v="151"/>
    <x v="19"/>
    <x v="2"/>
    <n v="1499"/>
    <n v="599"/>
    <x v="3"/>
  </r>
  <r>
    <n v="199"/>
    <x v="11"/>
    <x v="4"/>
    <n v="1745"/>
    <n v="845"/>
    <x v="3"/>
  </r>
  <r>
    <n v="46"/>
    <x v="20"/>
    <x v="4"/>
    <n v="7995"/>
    <n v="3245"/>
    <x v="3"/>
  </r>
  <r>
    <n v="156"/>
    <x v="22"/>
    <x v="0"/>
    <n v="3196"/>
    <n v="1396"/>
    <x v="3"/>
  </r>
  <r>
    <n v="177"/>
    <x v="2"/>
    <x v="2"/>
    <n v="899"/>
    <n v="399"/>
    <x v="3"/>
  </r>
  <r>
    <n v="95"/>
    <x v="23"/>
    <x v="1"/>
    <n v="1398"/>
    <n v="698"/>
    <x v="3"/>
  </r>
  <r>
    <n v="149"/>
    <x v="22"/>
    <x v="3"/>
    <n v="2397"/>
    <n v="1047"/>
    <x v="3"/>
  </r>
  <r>
    <n v="85"/>
    <x v="4"/>
    <x v="4"/>
    <n v="2995"/>
    <n v="1495"/>
    <x v="3"/>
  </r>
  <r>
    <n v="60"/>
    <x v="16"/>
    <x v="3"/>
    <n v="2097"/>
    <n v="1047"/>
    <x v="3"/>
  </r>
  <r>
    <n v="113"/>
    <x v="16"/>
    <x v="4"/>
    <n v="3495"/>
    <n v="1745"/>
    <x v="3"/>
  </r>
  <r>
    <n v="92"/>
    <x v="19"/>
    <x v="2"/>
    <n v="1499"/>
    <n v="599"/>
    <x v="3"/>
  </r>
  <r>
    <n v="12"/>
    <x v="8"/>
    <x v="2"/>
    <n v="799"/>
    <n v="349"/>
    <x v="3"/>
  </r>
  <r>
    <n v="70"/>
    <x v="6"/>
    <x v="4"/>
    <n v="5995"/>
    <n v="2495"/>
    <x v="3"/>
  </r>
  <r>
    <n v="132"/>
    <x v="4"/>
    <x v="0"/>
    <n v="2396"/>
    <n v="1196"/>
    <x v="3"/>
  </r>
  <r>
    <n v="194"/>
    <x v="0"/>
    <x v="1"/>
    <n v="1198"/>
    <n v="598"/>
    <x v="3"/>
  </r>
  <r>
    <n v="200"/>
    <x v="6"/>
    <x v="1"/>
    <n v="2398"/>
    <n v="998"/>
    <x v="3"/>
  </r>
  <r>
    <n v="25"/>
    <x v="22"/>
    <x v="4"/>
    <n v="3995"/>
    <n v="1745"/>
    <x v="3"/>
  </r>
  <r>
    <n v="120"/>
    <x v="12"/>
    <x v="0"/>
    <n v="2396"/>
    <n v="1196"/>
    <x v="3"/>
  </r>
  <r>
    <n v="197"/>
    <x v="24"/>
    <x v="4"/>
    <n v="1995"/>
    <n v="995"/>
    <x v="3"/>
  </r>
  <r>
    <n v="180"/>
    <x v="15"/>
    <x v="1"/>
    <n v="1398"/>
    <n v="698"/>
    <x v="3"/>
  </r>
  <r>
    <n v="97"/>
    <x v="11"/>
    <x v="0"/>
    <n v="1396"/>
    <n v="676"/>
    <x v="3"/>
  </r>
  <r>
    <n v="106"/>
    <x v="21"/>
    <x v="0"/>
    <n v="5996"/>
    <n v="2396"/>
    <x v="3"/>
  </r>
  <r>
    <n v="177"/>
    <x v="17"/>
    <x v="2"/>
    <n v="1299"/>
    <n v="499"/>
    <x v="3"/>
  </r>
  <r>
    <n v="141"/>
    <x v="18"/>
    <x v="4"/>
    <n v="5995"/>
    <n v="2495"/>
    <x v="3"/>
  </r>
  <r>
    <n v="80"/>
    <x v="19"/>
    <x v="4"/>
    <n v="7495"/>
    <n v="2995"/>
    <x v="3"/>
  </r>
  <r>
    <n v="61"/>
    <x v="5"/>
    <x v="1"/>
    <n v="1598"/>
    <n v="798"/>
    <x v="3"/>
  </r>
  <r>
    <n v="168"/>
    <x v="5"/>
    <x v="4"/>
    <n v="3995"/>
    <n v="1995"/>
    <x v="3"/>
  </r>
  <r>
    <n v="198"/>
    <x v="15"/>
    <x v="1"/>
    <n v="1398"/>
    <n v="698"/>
    <x v="3"/>
  </r>
  <r>
    <n v="26"/>
    <x v="7"/>
    <x v="1"/>
    <n v="798"/>
    <n v="398"/>
    <x v="3"/>
  </r>
  <r>
    <n v="75"/>
    <x v="2"/>
    <x v="0"/>
    <n v="3596"/>
    <n v="1596"/>
    <x v="3"/>
  </r>
  <r>
    <n v="92"/>
    <x v="13"/>
    <x v="2"/>
    <n v="1399"/>
    <n v="549"/>
    <x v="3"/>
  </r>
  <r>
    <n v="104"/>
    <x v="13"/>
    <x v="4"/>
    <n v="6995"/>
    <n v="2745"/>
    <x v="3"/>
  </r>
  <r>
    <n v="167"/>
    <x v="23"/>
    <x v="0"/>
    <n v="2796"/>
    <n v="1396"/>
    <x v="3"/>
  </r>
  <r>
    <n v="140"/>
    <x v="6"/>
    <x v="4"/>
    <n v="5995"/>
    <n v="2495"/>
    <x v="3"/>
  </r>
  <r>
    <n v="173"/>
    <x v="4"/>
    <x v="1"/>
    <n v="1198"/>
    <n v="598"/>
    <x v="3"/>
  </r>
  <r>
    <n v="67"/>
    <x v="6"/>
    <x v="0"/>
    <n v="4796"/>
    <n v="1996"/>
    <x v="3"/>
  </r>
  <r>
    <n v="138"/>
    <x v="2"/>
    <x v="2"/>
    <n v="899"/>
    <n v="399"/>
    <x v="3"/>
  </r>
  <r>
    <n v="97"/>
    <x v="19"/>
    <x v="4"/>
    <n v="7495"/>
    <n v="2995"/>
    <x v="3"/>
  </r>
  <r>
    <n v="109"/>
    <x v="15"/>
    <x v="1"/>
    <n v="1398"/>
    <n v="698"/>
    <x v="3"/>
  </r>
  <r>
    <n v="126"/>
    <x v="4"/>
    <x v="3"/>
    <n v="1797"/>
    <n v="897"/>
    <x v="3"/>
  </r>
  <r>
    <n v="117"/>
    <x v="16"/>
    <x v="3"/>
    <n v="2097"/>
    <n v="1047"/>
    <x v="3"/>
  </r>
  <r>
    <n v="100"/>
    <x v="4"/>
    <x v="2"/>
    <n v="599"/>
    <n v="299"/>
    <x v="3"/>
  </r>
  <r>
    <n v="41"/>
    <x v="11"/>
    <x v="3"/>
    <n v="1047"/>
    <n v="507"/>
    <x v="3"/>
  </r>
  <r>
    <n v="80"/>
    <x v="0"/>
    <x v="0"/>
    <n v="2396"/>
    <n v="1196"/>
    <x v="3"/>
  </r>
  <r>
    <n v="32"/>
    <x v="15"/>
    <x v="3"/>
    <n v="2097"/>
    <n v="1047"/>
    <x v="3"/>
  </r>
  <r>
    <n v="19"/>
    <x v="10"/>
    <x v="1"/>
    <n v="998"/>
    <n v="498"/>
    <x v="3"/>
  </r>
  <r>
    <n v="96"/>
    <x v="3"/>
    <x v="3"/>
    <n v="897"/>
    <n v="447"/>
    <x v="3"/>
  </r>
  <r>
    <n v="162"/>
    <x v="22"/>
    <x v="3"/>
    <n v="2397"/>
    <n v="1047"/>
    <x v="3"/>
  </r>
  <r>
    <n v="109"/>
    <x v="16"/>
    <x v="3"/>
    <n v="2097"/>
    <n v="1047"/>
    <x v="3"/>
  </r>
  <r>
    <n v="200"/>
    <x v="7"/>
    <x v="3"/>
    <n v="1197"/>
    <n v="597"/>
    <x v="3"/>
  </r>
  <r>
    <n v="126"/>
    <x v="2"/>
    <x v="3"/>
    <n v="2697"/>
    <n v="1197"/>
    <x v="3"/>
  </r>
  <r>
    <n v="159"/>
    <x v="4"/>
    <x v="4"/>
    <n v="2995"/>
    <n v="1495"/>
    <x v="3"/>
  </r>
  <r>
    <n v="91"/>
    <x v="23"/>
    <x v="0"/>
    <n v="2796"/>
    <n v="1396"/>
    <x v="3"/>
  </r>
  <r>
    <n v="117"/>
    <x v="20"/>
    <x v="3"/>
    <n v="4797"/>
    <n v="1947"/>
    <x v="3"/>
  </r>
  <r>
    <n v="196"/>
    <x v="16"/>
    <x v="0"/>
    <n v="2796"/>
    <n v="1396"/>
    <x v="3"/>
  </r>
  <r>
    <n v="169"/>
    <x v="0"/>
    <x v="1"/>
    <n v="1198"/>
    <n v="598"/>
    <x v="3"/>
  </r>
  <r>
    <n v="64"/>
    <x v="5"/>
    <x v="2"/>
    <n v="799"/>
    <n v="399"/>
    <x v="3"/>
  </r>
  <r>
    <n v="176"/>
    <x v="3"/>
    <x v="4"/>
    <n v="1495"/>
    <n v="745"/>
    <x v="3"/>
  </r>
  <r>
    <n v="15"/>
    <x v="19"/>
    <x v="0"/>
    <n v="5996"/>
    <n v="2396"/>
    <x v="3"/>
  </r>
  <r>
    <n v="83"/>
    <x v="0"/>
    <x v="0"/>
    <n v="2396"/>
    <n v="1196"/>
    <x v="3"/>
  </r>
  <r>
    <n v="28"/>
    <x v="10"/>
    <x v="4"/>
    <n v="2495"/>
    <n v="1245"/>
    <x v="3"/>
  </r>
  <r>
    <n v="7"/>
    <x v="2"/>
    <x v="0"/>
    <n v="3596"/>
    <n v="1596"/>
    <x v="3"/>
  </r>
  <r>
    <n v="125"/>
    <x v="0"/>
    <x v="2"/>
    <n v="599"/>
    <n v="299"/>
    <x v="3"/>
  </r>
  <r>
    <n v="110"/>
    <x v="21"/>
    <x v="4"/>
    <n v="7495"/>
    <n v="2995"/>
    <x v="3"/>
  </r>
  <r>
    <n v="135"/>
    <x v="8"/>
    <x v="4"/>
    <n v="3995"/>
    <n v="1745"/>
    <x v="3"/>
  </r>
  <r>
    <n v="50"/>
    <x v="15"/>
    <x v="2"/>
    <n v="699"/>
    <n v="349"/>
    <x v="3"/>
  </r>
  <r>
    <n v="102"/>
    <x v="11"/>
    <x v="0"/>
    <n v="1396"/>
    <n v="676"/>
    <x v="3"/>
  </r>
  <r>
    <n v="117"/>
    <x v="0"/>
    <x v="2"/>
    <n v="599"/>
    <n v="299"/>
    <x v="3"/>
  </r>
  <r>
    <n v="95"/>
    <x v="11"/>
    <x v="3"/>
    <n v="1047"/>
    <n v="507"/>
    <x v="3"/>
  </r>
  <r>
    <n v="192"/>
    <x v="1"/>
    <x v="0"/>
    <n v="3996"/>
    <n v="1596"/>
    <x v="3"/>
  </r>
  <r>
    <n v="151"/>
    <x v="16"/>
    <x v="1"/>
    <n v="1398"/>
    <n v="698"/>
    <x v="3"/>
  </r>
  <r>
    <n v="75"/>
    <x v="15"/>
    <x v="4"/>
    <n v="3495"/>
    <n v="1745"/>
    <x v="3"/>
  </r>
  <r>
    <n v="75"/>
    <x v="13"/>
    <x v="0"/>
    <n v="5596"/>
    <n v="2196"/>
    <x v="3"/>
  </r>
  <r>
    <n v="170"/>
    <x v="17"/>
    <x v="0"/>
    <n v="5196"/>
    <n v="1996"/>
    <x v="3"/>
  </r>
  <r>
    <n v="199"/>
    <x v="0"/>
    <x v="1"/>
    <n v="1198"/>
    <n v="598"/>
    <x v="3"/>
  </r>
  <r>
    <n v="6"/>
    <x v="17"/>
    <x v="0"/>
    <n v="5196"/>
    <n v="1996"/>
    <x v="3"/>
  </r>
  <r>
    <n v="94"/>
    <x v="17"/>
    <x v="4"/>
    <n v="6495"/>
    <n v="2495"/>
    <x v="3"/>
  </r>
  <r>
    <n v="111"/>
    <x v="16"/>
    <x v="2"/>
    <n v="699"/>
    <n v="349"/>
    <x v="3"/>
  </r>
  <r>
    <n v="31"/>
    <x v="15"/>
    <x v="4"/>
    <n v="3495"/>
    <n v="1745"/>
    <x v="3"/>
  </r>
  <r>
    <n v="7"/>
    <x v="4"/>
    <x v="0"/>
    <n v="2396"/>
    <n v="1196"/>
    <x v="3"/>
  </r>
  <r>
    <n v="141"/>
    <x v="0"/>
    <x v="4"/>
    <n v="2995"/>
    <n v="1495"/>
    <x v="3"/>
  </r>
  <r>
    <n v="80"/>
    <x v="4"/>
    <x v="1"/>
    <n v="1198"/>
    <n v="598"/>
    <x v="3"/>
  </r>
  <r>
    <n v="147"/>
    <x v="24"/>
    <x v="0"/>
    <n v="1596"/>
    <n v="796"/>
    <x v="3"/>
  </r>
  <r>
    <n v="144"/>
    <x v="19"/>
    <x v="0"/>
    <n v="5996"/>
    <n v="2396"/>
    <x v="3"/>
  </r>
  <r>
    <n v="50"/>
    <x v="0"/>
    <x v="4"/>
    <n v="2995"/>
    <n v="1495"/>
    <x v="3"/>
  </r>
  <r>
    <n v="188"/>
    <x v="16"/>
    <x v="4"/>
    <n v="3495"/>
    <n v="1745"/>
    <x v="3"/>
  </r>
  <r>
    <n v="96"/>
    <x v="11"/>
    <x v="3"/>
    <n v="1047"/>
    <n v="507"/>
    <x v="3"/>
  </r>
  <r>
    <n v="116"/>
    <x v="4"/>
    <x v="2"/>
    <n v="599"/>
    <n v="299"/>
    <x v="3"/>
  </r>
  <r>
    <n v="172"/>
    <x v="4"/>
    <x v="3"/>
    <n v="1797"/>
    <n v="897"/>
    <x v="3"/>
  </r>
  <r>
    <n v="180"/>
    <x v="0"/>
    <x v="4"/>
    <n v="2995"/>
    <n v="1495"/>
    <x v="3"/>
  </r>
  <r>
    <n v="8"/>
    <x v="0"/>
    <x v="3"/>
    <n v="1797"/>
    <n v="897"/>
    <x v="3"/>
  </r>
  <r>
    <n v="185"/>
    <x v="0"/>
    <x v="3"/>
    <n v="1797"/>
    <n v="897"/>
    <x v="3"/>
  </r>
  <r>
    <n v="3"/>
    <x v="11"/>
    <x v="1"/>
    <n v="698"/>
    <n v="338"/>
    <x v="3"/>
  </r>
  <r>
    <n v="36"/>
    <x v="5"/>
    <x v="0"/>
    <n v="3196"/>
    <n v="1596"/>
    <x v="3"/>
  </r>
  <r>
    <n v="47"/>
    <x v="15"/>
    <x v="0"/>
    <n v="2796"/>
    <n v="1396"/>
    <x v="3"/>
  </r>
  <r>
    <n v="80"/>
    <x v="2"/>
    <x v="4"/>
    <n v="4495"/>
    <n v="1995"/>
    <x v="3"/>
  </r>
  <r>
    <n v="145"/>
    <x v="20"/>
    <x v="0"/>
    <n v="6396"/>
    <n v="2596"/>
    <x v="3"/>
  </r>
  <r>
    <n v="166"/>
    <x v="0"/>
    <x v="4"/>
    <n v="2995"/>
    <n v="1495"/>
    <x v="3"/>
  </r>
  <r>
    <n v="122"/>
    <x v="1"/>
    <x v="1"/>
    <n v="1998"/>
    <n v="798"/>
    <x v="3"/>
  </r>
  <r>
    <n v="24"/>
    <x v="9"/>
    <x v="1"/>
    <n v="998"/>
    <n v="498"/>
    <x v="3"/>
  </r>
  <r>
    <n v="76"/>
    <x v="14"/>
    <x v="0"/>
    <n v="3196"/>
    <n v="1596"/>
    <x v="3"/>
  </r>
  <r>
    <n v="133"/>
    <x v="24"/>
    <x v="2"/>
    <n v="399"/>
    <n v="199"/>
    <x v="3"/>
  </r>
  <r>
    <n v="183"/>
    <x v="6"/>
    <x v="3"/>
    <n v="3597"/>
    <n v="1497"/>
    <x v="3"/>
  </r>
  <r>
    <n v="144"/>
    <x v="12"/>
    <x v="1"/>
    <n v="1198"/>
    <n v="598"/>
    <x v="3"/>
  </r>
  <r>
    <n v="117"/>
    <x v="24"/>
    <x v="3"/>
    <n v="1197"/>
    <n v="597"/>
    <x v="3"/>
  </r>
  <r>
    <n v="186"/>
    <x v="17"/>
    <x v="0"/>
    <n v="5196"/>
    <n v="1996"/>
    <x v="3"/>
  </r>
  <r>
    <n v="165"/>
    <x v="21"/>
    <x v="0"/>
    <n v="5996"/>
    <n v="2396"/>
    <x v="3"/>
  </r>
  <r>
    <n v="87"/>
    <x v="19"/>
    <x v="3"/>
    <n v="4497"/>
    <n v="1797"/>
    <x v="3"/>
  </r>
  <r>
    <n v="141"/>
    <x v="21"/>
    <x v="1"/>
    <n v="2998"/>
    <n v="1198"/>
    <x v="3"/>
  </r>
  <r>
    <n v="193"/>
    <x v="17"/>
    <x v="4"/>
    <n v="6495"/>
    <n v="2495"/>
    <x v="3"/>
  </r>
  <r>
    <n v="89"/>
    <x v="23"/>
    <x v="0"/>
    <n v="2796"/>
    <n v="1396"/>
    <x v="3"/>
  </r>
  <r>
    <n v="57"/>
    <x v="6"/>
    <x v="0"/>
    <n v="4796"/>
    <n v="1996"/>
    <x v="3"/>
  </r>
  <r>
    <n v="70"/>
    <x v="2"/>
    <x v="3"/>
    <n v="2697"/>
    <n v="1197"/>
    <x v="3"/>
  </r>
  <r>
    <n v="83"/>
    <x v="15"/>
    <x v="2"/>
    <n v="699"/>
    <n v="349"/>
    <x v="3"/>
  </r>
  <r>
    <n v="18"/>
    <x v="1"/>
    <x v="0"/>
    <n v="3996"/>
    <n v="1596"/>
    <x v="3"/>
  </r>
  <r>
    <n v="181"/>
    <x v="0"/>
    <x v="4"/>
    <n v="2995"/>
    <n v="1495"/>
    <x v="3"/>
  </r>
  <r>
    <n v="142"/>
    <x v="22"/>
    <x v="1"/>
    <n v="1598"/>
    <n v="698"/>
    <x v="3"/>
  </r>
  <r>
    <n v="200"/>
    <x v="7"/>
    <x v="1"/>
    <n v="798"/>
    <n v="398"/>
    <x v="3"/>
  </r>
  <r>
    <n v="44"/>
    <x v="16"/>
    <x v="4"/>
    <n v="3495"/>
    <n v="1745"/>
    <x v="3"/>
  </r>
  <r>
    <n v="105"/>
    <x v="8"/>
    <x v="0"/>
    <n v="3196"/>
    <n v="1396"/>
    <x v="3"/>
  </r>
  <r>
    <n v="161"/>
    <x v="14"/>
    <x v="1"/>
    <n v="1598"/>
    <n v="798"/>
    <x v="3"/>
  </r>
  <r>
    <n v="127"/>
    <x v="3"/>
    <x v="1"/>
    <n v="598"/>
    <n v="298"/>
    <x v="3"/>
  </r>
  <r>
    <n v="79"/>
    <x v="11"/>
    <x v="1"/>
    <n v="698"/>
    <n v="338"/>
    <x v="3"/>
  </r>
  <r>
    <n v="122"/>
    <x v="20"/>
    <x v="2"/>
    <n v="1599"/>
    <n v="649"/>
    <x v="3"/>
  </r>
  <r>
    <n v="29"/>
    <x v="23"/>
    <x v="0"/>
    <n v="2796"/>
    <n v="1396"/>
    <x v="3"/>
  </r>
  <r>
    <n v="67"/>
    <x v="0"/>
    <x v="4"/>
    <n v="2995"/>
    <n v="1495"/>
    <x v="3"/>
  </r>
  <r>
    <n v="104"/>
    <x v="20"/>
    <x v="4"/>
    <n v="7995"/>
    <n v="3245"/>
    <x v="3"/>
  </r>
  <r>
    <n v="13"/>
    <x v="14"/>
    <x v="3"/>
    <n v="2397"/>
    <n v="1197"/>
    <x v="3"/>
  </r>
  <r>
    <n v="133"/>
    <x v="12"/>
    <x v="2"/>
    <n v="599"/>
    <n v="299"/>
    <x v="3"/>
  </r>
  <r>
    <n v="23"/>
    <x v="21"/>
    <x v="1"/>
    <n v="2998"/>
    <n v="1198"/>
    <x v="3"/>
  </r>
  <r>
    <n v="51"/>
    <x v="17"/>
    <x v="1"/>
    <n v="2598"/>
    <n v="998"/>
    <x v="3"/>
  </r>
  <r>
    <n v="92"/>
    <x v="6"/>
    <x v="4"/>
    <n v="5995"/>
    <n v="2495"/>
    <x v="3"/>
  </r>
  <r>
    <n v="7"/>
    <x v="19"/>
    <x v="2"/>
    <n v="1499"/>
    <n v="599"/>
    <x v="3"/>
  </r>
  <r>
    <n v="187"/>
    <x v="17"/>
    <x v="0"/>
    <n v="5196"/>
    <n v="1996"/>
    <x v="3"/>
  </r>
  <r>
    <n v="113"/>
    <x v="23"/>
    <x v="2"/>
    <n v="699"/>
    <n v="349"/>
    <x v="3"/>
  </r>
  <r>
    <n v="175"/>
    <x v="13"/>
    <x v="1"/>
    <n v="2798"/>
    <n v="1098"/>
    <x v="3"/>
  </r>
  <r>
    <n v="24"/>
    <x v="21"/>
    <x v="4"/>
    <n v="7495"/>
    <n v="2995"/>
    <x v="3"/>
  </r>
  <r>
    <n v="48"/>
    <x v="4"/>
    <x v="3"/>
    <n v="1797"/>
    <n v="897"/>
    <x v="3"/>
  </r>
  <r>
    <n v="165"/>
    <x v="16"/>
    <x v="0"/>
    <n v="2796"/>
    <n v="1396"/>
    <x v="3"/>
  </r>
  <r>
    <n v="166"/>
    <x v="6"/>
    <x v="4"/>
    <n v="5995"/>
    <n v="2495"/>
    <x v="3"/>
  </r>
  <r>
    <n v="60"/>
    <x v="12"/>
    <x v="1"/>
    <n v="1198"/>
    <n v="598"/>
    <x v="3"/>
  </r>
  <r>
    <n v="96"/>
    <x v="4"/>
    <x v="4"/>
    <n v="2995"/>
    <n v="1495"/>
    <x v="3"/>
  </r>
  <r>
    <n v="45"/>
    <x v="10"/>
    <x v="3"/>
    <n v="1497"/>
    <n v="747"/>
    <x v="3"/>
  </r>
  <r>
    <n v="136"/>
    <x v="13"/>
    <x v="3"/>
    <n v="4197"/>
    <n v="1647"/>
    <x v="3"/>
  </r>
  <r>
    <n v="61"/>
    <x v="19"/>
    <x v="0"/>
    <n v="5996"/>
    <n v="2396"/>
    <x v="3"/>
  </r>
  <r>
    <n v="44"/>
    <x v="23"/>
    <x v="1"/>
    <n v="1398"/>
    <n v="698"/>
    <x v="3"/>
  </r>
  <r>
    <n v="123"/>
    <x v="20"/>
    <x v="0"/>
    <n v="6396"/>
    <n v="2596"/>
    <x v="3"/>
  </r>
  <r>
    <n v="194"/>
    <x v="24"/>
    <x v="0"/>
    <n v="1596"/>
    <n v="796"/>
    <x v="3"/>
  </r>
  <r>
    <n v="121"/>
    <x v="23"/>
    <x v="2"/>
    <n v="699"/>
    <n v="349"/>
    <x v="3"/>
  </r>
  <r>
    <n v="57"/>
    <x v="20"/>
    <x v="3"/>
    <n v="4797"/>
    <n v="1947"/>
    <x v="3"/>
  </r>
  <r>
    <n v="113"/>
    <x v="22"/>
    <x v="2"/>
    <n v="799"/>
    <n v="349"/>
    <x v="3"/>
  </r>
  <r>
    <n v="178"/>
    <x v="11"/>
    <x v="2"/>
    <n v="349"/>
    <n v="169"/>
    <x v="3"/>
  </r>
  <r>
    <n v="119"/>
    <x v="13"/>
    <x v="2"/>
    <n v="1399"/>
    <n v="549"/>
    <x v="3"/>
  </r>
  <r>
    <n v="6"/>
    <x v="0"/>
    <x v="1"/>
    <n v="1198"/>
    <n v="598"/>
    <x v="3"/>
  </r>
  <r>
    <n v="95"/>
    <x v="18"/>
    <x v="2"/>
    <n v="1199"/>
    <n v="499"/>
    <x v="3"/>
  </r>
  <r>
    <n v="37"/>
    <x v="1"/>
    <x v="1"/>
    <n v="1998"/>
    <n v="798"/>
    <x v="3"/>
  </r>
  <r>
    <n v="79"/>
    <x v="24"/>
    <x v="0"/>
    <n v="1596"/>
    <n v="796"/>
    <x v="3"/>
  </r>
  <r>
    <n v="148"/>
    <x v="1"/>
    <x v="3"/>
    <n v="2997"/>
    <n v="1197"/>
    <x v="3"/>
  </r>
  <r>
    <n v="106"/>
    <x v="13"/>
    <x v="4"/>
    <n v="6995"/>
    <n v="2745"/>
    <x v="3"/>
  </r>
  <r>
    <n v="182"/>
    <x v="3"/>
    <x v="4"/>
    <n v="1495"/>
    <n v="745"/>
    <x v="3"/>
  </r>
  <r>
    <n v="13"/>
    <x v="3"/>
    <x v="0"/>
    <n v="1196"/>
    <n v="596"/>
    <x v="3"/>
  </r>
  <r>
    <n v="3"/>
    <x v="6"/>
    <x v="0"/>
    <n v="4796"/>
    <n v="1996"/>
    <x v="3"/>
  </r>
  <r>
    <n v="56"/>
    <x v="6"/>
    <x v="2"/>
    <n v="1199"/>
    <n v="499"/>
    <x v="3"/>
  </r>
  <r>
    <n v="143"/>
    <x v="10"/>
    <x v="3"/>
    <n v="1497"/>
    <n v="747"/>
    <x v="3"/>
  </r>
  <r>
    <n v="158"/>
    <x v="18"/>
    <x v="4"/>
    <n v="5995"/>
    <n v="2495"/>
    <x v="3"/>
  </r>
  <r>
    <n v="84"/>
    <x v="20"/>
    <x v="1"/>
    <n v="3198"/>
    <n v="1298"/>
    <x v="3"/>
  </r>
  <r>
    <n v="161"/>
    <x v="5"/>
    <x v="2"/>
    <n v="799"/>
    <n v="399"/>
    <x v="3"/>
  </r>
  <r>
    <n v="24"/>
    <x v="14"/>
    <x v="3"/>
    <n v="2397"/>
    <n v="1197"/>
    <x v="3"/>
  </r>
  <r>
    <n v="66"/>
    <x v="22"/>
    <x v="3"/>
    <n v="2397"/>
    <n v="1047"/>
    <x v="3"/>
  </r>
  <r>
    <n v="196"/>
    <x v="8"/>
    <x v="1"/>
    <n v="1598"/>
    <n v="698"/>
    <x v="3"/>
  </r>
  <r>
    <n v="141"/>
    <x v="5"/>
    <x v="2"/>
    <n v="799"/>
    <n v="399"/>
    <x v="3"/>
  </r>
  <r>
    <n v="86"/>
    <x v="14"/>
    <x v="0"/>
    <n v="3196"/>
    <n v="1596"/>
    <x v="3"/>
  </r>
  <r>
    <n v="91"/>
    <x v="18"/>
    <x v="1"/>
    <n v="2398"/>
    <n v="998"/>
    <x v="3"/>
  </r>
  <r>
    <n v="119"/>
    <x v="8"/>
    <x v="1"/>
    <n v="1598"/>
    <n v="698"/>
    <x v="3"/>
  </r>
  <r>
    <n v="49"/>
    <x v="9"/>
    <x v="3"/>
    <n v="1497"/>
    <n v="747"/>
    <x v="3"/>
  </r>
  <r>
    <n v="118"/>
    <x v="19"/>
    <x v="3"/>
    <n v="4497"/>
    <n v="1797"/>
    <x v="3"/>
  </r>
  <r>
    <n v="31"/>
    <x v="18"/>
    <x v="3"/>
    <n v="3597"/>
    <n v="1497"/>
    <x v="3"/>
  </r>
  <r>
    <n v="117"/>
    <x v="10"/>
    <x v="4"/>
    <n v="2495"/>
    <n v="1245"/>
    <x v="3"/>
  </r>
  <r>
    <n v="21"/>
    <x v="8"/>
    <x v="2"/>
    <n v="799"/>
    <n v="349"/>
    <x v="3"/>
  </r>
  <r>
    <n v="59"/>
    <x v="6"/>
    <x v="0"/>
    <n v="4796"/>
    <n v="1996"/>
    <x v="3"/>
  </r>
  <r>
    <n v="40"/>
    <x v="17"/>
    <x v="1"/>
    <n v="2598"/>
    <n v="998"/>
    <x v="3"/>
  </r>
  <r>
    <n v="81"/>
    <x v="23"/>
    <x v="3"/>
    <n v="2097"/>
    <n v="1047"/>
    <x v="3"/>
  </r>
  <r>
    <n v="10"/>
    <x v="15"/>
    <x v="0"/>
    <n v="2796"/>
    <n v="1396"/>
    <x v="3"/>
  </r>
  <r>
    <n v="112"/>
    <x v="8"/>
    <x v="1"/>
    <n v="1598"/>
    <n v="698"/>
    <x v="3"/>
  </r>
  <r>
    <n v="195"/>
    <x v="22"/>
    <x v="1"/>
    <n v="1598"/>
    <n v="698"/>
    <x v="3"/>
  </r>
  <r>
    <n v="160"/>
    <x v="23"/>
    <x v="0"/>
    <n v="2796"/>
    <n v="1396"/>
    <x v="3"/>
  </r>
  <r>
    <n v="97"/>
    <x v="16"/>
    <x v="4"/>
    <n v="3495"/>
    <n v="1745"/>
    <x v="3"/>
  </r>
  <r>
    <n v="145"/>
    <x v="6"/>
    <x v="3"/>
    <n v="3597"/>
    <n v="1497"/>
    <x v="3"/>
  </r>
  <r>
    <n v="101"/>
    <x v="3"/>
    <x v="0"/>
    <n v="1196"/>
    <n v="596"/>
    <x v="3"/>
  </r>
  <r>
    <n v="2"/>
    <x v="0"/>
    <x v="3"/>
    <n v="1797"/>
    <n v="897"/>
    <x v="3"/>
  </r>
  <r>
    <n v="17"/>
    <x v="14"/>
    <x v="4"/>
    <n v="3995"/>
    <n v="1995"/>
    <x v="3"/>
  </r>
  <r>
    <n v="188"/>
    <x v="21"/>
    <x v="3"/>
    <n v="4497"/>
    <n v="1797"/>
    <x v="3"/>
  </r>
  <r>
    <n v="171"/>
    <x v="3"/>
    <x v="0"/>
    <n v="1196"/>
    <n v="596"/>
    <x v="3"/>
  </r>
  <r>
    <n v="1"/>
    <x v="5"/>
    <x v="3"/>
    <n v="2397"/>
    <n v="1197"/>
    <x v="3"/>
  </r>
  <r>
    <n v="21"/>
    <x v="14"/>
    <x v="0"/>
    <n v="3196"/>
    <n v="1596"/>
    <x v="3"/>
  </r>
  <r>
    <n v="119"/>
    <x v="4"/>
    <x v="0"/>
    <n v="2396"/>
    <n v="1196"/>
    <x v="3"/>
  </r>
  <r>
    <n v="107"/>
    <x v="11"/>
    <x v="3"/>
    <n v="1047"/>
    <n v="507"/>
    <x v="3"/>
  </r>
  <r>
    <n v="63"/>
    <x v="15"/>
    <x v="2"/>
    <n v="699"/>
    <n v="349"/>
    <x v="3"/>
  </r>
  <r>
    <n v="111"/>
    <x v="6"/>
    <x v="1"/>
    <n v="2398"/>
    <n v="998"/>
    <x v="3"/>
  </r>
  <r>
    <n v="62"/>
    <x v="24"/>
    <x v="3"/>
    <n v="1197"/>
    <n v="597"/>
    <x v="3"/>
  </r>
  <r>
    <n v="101"/>
    <x v="12"/>
    <x v="1"/>
    <n v="1198"/>
    <n v="598"/>
    <x v="3"/>
  </r>
  <r>
    <n v="124"/>
    <x v="23"/>
    <x v="0"/>
    <n v="2796"/>
    <n v="1396"/>
    <x v="3"/>
  </r>
  <r>
    <n v="195"/>
    <x v="14"/>
    <x v="4"/>
    <n v="3995"/>
    <n v="1995"/>
    <x v="3"/>
  </r>
  <r>
    <n v="46"/>
    <x v="15"/>
    <x v="0"/>
    <n v="2796"/>
    <n v="1396"/>
    <x v="3"/>
  </r>
  <r>
    <n v="37"/>
    <x v="19"/>
    <x v="2"/>
    <n v="1499"/>
    <n v="599"/>
    <x v="3"/>
  </r>
  <r>
    <n v="159"/>
    <x v="5"/>
    <x v="3"/>
    <n v="2397"/>
    <n v="1197"/>
    <x v="3"/>
  </r>
  <r>
    <n v="56"/>
    <x v="15"/>
    <x v="4"/>
    <n v="3495"/>
    <n v="1745"/>
    <x v="3"/>
  </r>
  <r>
    <n v="8"/>
    <x v="18"/>
    <x v="1"/>
    <n v="2398"/>
    <n v="998"/>
    <x v="3"/>
  </r>
  <r>
    <n v="161"/>
    <x v="9"/>
    <x v="4"/>
    <n v="2495"/>
    <n v="1245"/>
    <x v="3"/>
  </r>
  <r>
    <n v="92"/>
    <x v="11"/>
    <x v="0"/>
    <n v="1396"/>
    <n v="676"/>
    <x v="3"/>
  </r>
  <r>
    <n v="78"/>
    <x v="11"/>
    <x v="4"/>
    <n v="1745"/>
    <n v="845"/>
    <x v="3"/>
  </r>
  <r>
    <n v="192"/>
    <x v="17"/>
    <x v="0"/>
    <n v="5196"/>
    <n v="1996"/>
    <x v="3"/>
  </r>
  <r>
    <n v="143"/>
    <x v="14"/>
    <x v="4"/>
    <n v="3995"/>
    <n v="1995"/>
    <x v="3"/>
  </r>
  <r>
    <n v="149"/>
    <x v="7"/>
    <x v="1"/>
    <n v="798"/>
    <n v="398"/>
    <x v="3"/>
  </r>
  <r>
    <n v="90"/>
    <x v="16"/>
    <x v="3"/>
    <n v="2097"/>
    <n v="1047"/>
    <x v="3"/>
  </r>
  <r>
    <n v="87"/>
    <x v="20"/>
    <x v="2"/>
    <n v="1599"/>
    <n v="649"/>
    <x v="3"/>
  </r>
  <r>
    <n v="6"/>
    <x v="20"/>
    <x v="0"/>
    <n v="6396"/>
    <n v="2596"/>
    <x v="3"/>
  </r>
  <r>
    <n v="67"/>
    <x v="12"/>
    <x v="2"/>
    <n v="599"/>
    <n v="299"/>
    <x v="3"/>
  </r>
  <r>
    <n v="170"/>
    <x v="16"/>
    <x v="4"/>
    <n v="3495"/>
    <n v="1745"/>
    <x v="3"/>
  </r>
  <r>
    <n v="13"/>
    <x v="8"/>
    <x v="3"/>
    <n v="2397"/>
    <n v="1047"/>
    <x v="3"/>
  </r>
  <r>
    <n v="140"/>
    <x v="14"/>
    <x v="4"/>
    <n v="3995"/>
    <n v="1995"/>
    <x v="3"/>
  </r>
  <r>
    <n v="146"/>
    <x v="9"/>
    <x v="1"/>
    <n v="998"/>
    <n v="498"/>
    <x v="3"/>
  </r>
  <r>
    <n v="87"/>
    <x v="16"/>
    <x v="2"/>
    <n v="699"/>
    <n v="349"/>
    <x v="3"/>
  </r>
  <r>
    <n v="175"/>
    <x v="0"/>
    <x v="1"/>
    <n v="1198"/>
    <n v="598"/>
    <x v="3"/>
  </r>
  <r>
    <n v="23"/>
    <x v="24"/>
    <x v="4"/>
    <n v="1995"/>
    <n v="995"/>
    <x v="3"/>
  </r>
  <r>
    <n v="118"/>
    <x v="12"/>
    <x v="1"/>
    <n v="1198"/>
    <n v="598"/>
    <x v="3"/>
  </r>
  <r>
    <n v="96"/>
    <x v="17"/>
    <x v="3"/>
    <n v="3897"/>
    <n v="1497"/>
    <x v="3"/>
  </r>
  <r>
    <n v="147"/>
    <x v="11"/>
    <x v="3"/>
    <n v="1047"/>
    <n v="507"/>
    <x v="3"/>
  </r>
  <r>
    <n v="75"/>
    <x v="12"/>
    <x v="1"/>
    <n v="1198"/>
    <n v="598"/>
    <x v="3"/>
  </r>
  <r>
    <n v="169"/>
    <x v="15"/>
    <x v="3"/>
    <n v="2097"/>
    <n v="1047"/>
    <x v="3"/>
  </r>
  <r>
    <n v="189"/>
    <x v="1"/>
    <x v="2"/>
    <n v="999"/>
    <n v="399"/>
    <x v="3"/>
  </r>
  <r>
    <n v="60"/>
    <x v="7"/>
    <x v="1"/>
    <n v="798"/>
    <n v="398"/>
    <x v="3"/>
  </r>
  <r>
    <n v="102"/>
    <x v="15"/>
    <x v="0"/>
    <n v="2796"/>
    <n v="1396"/>
    <x v="3"/>
  </r>
  <r>
    <n v="171"/>
    <x v="21"/>
    <x v="3"/>
    <n v="4497"/>
    <n v="1797"/>
    <x v="3"/>
  </r>
  <r>
    <n v="157"/>
    <x v="1"/>
    <x v="1"/>
    <n v="1998"/>
    <n v="798"/>
    <x v="3"/>
  </r>
  <r>
    <n v="95"/>
    <x v="22"/>
    <x v="0"/>
    <n v="3196"/>
    <n v="1396"/>
    <x v="3"/>
  </r>
  <r>
    <n v="139"/>
    <x v="2"/>
    <x v="0"/>
    <n v="3596"/>
    <n v="1596"/>
    <x v="3"/>
  </r>
  <r>
    <n v="75"/>
    <x v="16"/>
    <x v="1"/>
    <n v="1398"/>
    <n v="698"/>
    <x v="3"/>
  </r>
  <r>
    <n v="180"/>
    <x v="6"/>
    <x v="4"/>
    <n v="5995"/>
    <n v="2495"/>
    <x v="3"/>
  </r>
  <r>
    <n v="57"/>
    <x v="19"/>
    <x v="2"/>
    <n v="1499"/>
    <n v="599"/>
    <x v="3"/>
  </r>
  <r>
    <n v="40"/>
    <x v="18"/>
    <x v="0"/>
    <n v="4796"/>
    <n v="1996"/>
    <x v="3"/>
  </r>
  <r>
    <n v="128"/>
    <x v="22"/>
    <x v="1"/>
    <n v="1598"/>
    <n v="698"/>
    <x v="3"/>
  </r>
  <r>
    <n v="53"/>
    <x v="16"/>
    <x v="1"/>
    <n v="1398"/>
    <n v="698"/>
    <x v="3"/>
  </r>
  <r>
    <n v="13"/>
    <x v="13"/>
    <x v="0"/>
    <n v="5596"/>
    <n v="2196"/>
    <x v="3"/>
  </r>
  <r>
    <n v="76"/>
    <x v="1"/>
    <x v="0"/>
    <n v="3996"/>
    <n v="1596"/>
    <x v="3"/>
  </r>
  <r>
    <n v="123"/>
    <x v="0"/>
    <x v="1"/>
    <n v="1198"/>
    <n v="598"/>
    <x v="3"/>
  </r>
  <r>
    <n v="200"/>
    <x v="6"/>
    <x v="1"/>
    <n v="2398"/>
    <n v="998"/>
    <x v="3"/>
  </r>
  <r>
    <n v="146"/>
    <x v="8"/>
    <x v="3"/>
    <n v="2397"/>
    <n v="1047"/>
    <x v="3"/>
  </r>
  <r>
    <n v="51"/>
    <x v="4"/>
    <x v="3"/>
    <n v="1797"/>
    <n v="897"/>
    <x v="3"/>
  </r>
  <r>
    <n v="78"/>
    <x v="17"/>
    <x v="4"/>
    <n v="6495"/>
    <n v="2495"/>
    <x v="3"/>
  </r>
  <r>
    <n v="174"/>
    <x v="1"/>
    <x v="3"/>
    <n v="2997"/>
    <n v="1197"/>
    <x v="3"/>
  </r>
  <r>
    <n v="27"/>
    <x v="20"/>
    <x v="1"/>
    <n v="3198"/>
    <n v="1298"/>
    <x v="3"/>
  </r>
  <r>
    <n v="22"/>
    <x v="13"/>
    <x v="0"/>
    <n v="5596"/>
    <n v="2196"/>
    <x v="3"/>
  </r>
  <r>
    <n v="114"/>
    <x v="4"/>
    <x v="2"/>
    <n v="599"/>
    <n v="299"/>
    <x v="3"/>
  </r>
  <r>
    <n v="15"/>
    <x v="18"/>
    <x v="2"/>
    <n v="1199"/>
    <n v="499"/>
    <x v="3"/>
  </r>
  <r>
    <n v="127"/>
    <x v="13"/>
    <x v="4"/>
    <n v="6995"/>
    <n v="2745"/>
    <x v="3"/>
  </r>
  <r>
    <n v="72"/>
    <x v="24"/>
    <x v="2"/>
    <n v="399"/>
    <n v="199"/>
    <x v="3"/>
  </r>
  <r>
    <n v="80"/>
    <x v="0"/>
    <x v="1"/>
    <n v="1198"/>
    <n v="598"/>
    <x v="3"/>
  </r>
  <r>
    <n v="115"/>
    <x v="3"/>
    <x v="1"/>
    <n v="598"/>
    <n v="298"/>
    <x v="3"/>
  </r>
  <r>
    <n v="122"/>
    <x v="15"/>
    <x v="0"/>
    <n v="2796"/>
    <n v="1396"/>
    <x v="3"/>
  </r>
  <r>
    <n v="184"/>
    <x v="6"/>
    <x v="1"/>
    <n v="2398"/>
    <n v="998"/>
    <x v="3"/>
  </r>
  <r>
    <n v="50"/>
    <x v="10"/>
    <x v="2"/>
    <n v="499"/>
    <n v="249"/>
    <x v="3"/>
  </r>
  <r>
    <n v="13"/>
    <x v="10"/>
    <x v="1"/>
    <n v="998"/>
    <n v="498"/>
    <x v="3"/>
  </r>
  <r>
    <n v="89"/>
    <x v="16"/>
    <x v="1"/>
    <n v="1398"/>
    <n v="698"/>
    <x v="3"/>
  </r>
  <r>
    <n v="28"/>
    <x v="23"/>
    <x v="3"/>
    <n v="2097"/>
    <n v="1047"/>
    <x v="3"/>
  </r>
  <r>
    <n v="43"/>
    <x v="8"/>
    <x v="1"/>
    <n v="1598"/>
    <n v="698"/>
    <x v="3"/>
  </r>
  <r>
    <n v="22"/>
    <x v="21"/>
    <x v="4"/>
    <n v="7495"/>
    <n v="2995"/>
    <x v="3"/>
  </r>
  <r>
    <n v="152"/>
    <x v="12"/>
    <x v="4"/>
    <n v="2995"/>
    <n v="1495"/>
    <x v="3"/>
  </r>
  <r>
    <n v="188"/>
    <x v="3"/>
    <x v="3"/>
    <n v="897"/>
    <n v="447"/>
    <x v="3"/>
  </r>
  <r>
    <n v="200"/>
    <x v="20"/>
    <x v="0"/>
    <n v="6396"/>
    <n v="2596"/>
    <x v="3"/>
  </r>
  <r>
    <n v="77"/>
    <x v="10"/>
    <x v="4"/>
    <n v="2495"/>
    <n v="1245"/>
    <x v="3"/>
  </r>
  <r>
    <n v="34"/>
    <x v="11"/>
    <x v="3"/>
    <n v="1047"/>
    <n v="507"/>
    <x v="3"/>
  </r>
  <r>
    <n v="49"/>
    <x v="8"/>
    <x v="1"/>
    <n v="1598"/>
    <n v="698"/>
    <x v="3"/>
  </r>
  <r>
    <n v="28"/>
    <x v="3"/>
    <x v="1"/>
    <n v="598"/>
    <n v="298"/>
    <x v="3"/>
  </r>
  <r>
    <n v="195"/>
    <x v="15"/>
    <x v="0"/>
    <n v="2796"/>
    <n v="1396"/>
    <x v="3"/>
  </r>
  <r>
    <n v="106"/>
    <x v="6"/>
    <x v="0"/>
    <n v="4796"/>
    <n v="1996"/>
    <x v="3"/>
  </r>
  <r>
    <n v="80"/>
    <x v="12"/>
    <x v="4"/>
    <n v="2995"/>
    <n v="1495"/>
    <x v="3"/>
  </r>
  <r>
    <n v="96"/>
    <x v="15"/>
    <x v="1"/>
    <n v="1398"/>
    <n v="698"/>
    <x v="3"/>
  </r>
  <r>
    <n v="83"/>
    <x v="13"/>
    <x v="2"/>
    <n v="1399"/>
    <n v="549"/>
    <x v="3"/>
  </r>
  <r>
    <n v="23"/>
    <x v="3"/>
    <x v="1"/>
    <n v="598"/>
    <n v="298"/>
    <x v="3"/>
  </r>
  <r>
    <n v="83"/>
    <x v="12"/>
    <x v="2"/>
    <n v="599"/>
    <n v="299"/>
    <x v="3"/>
  </r>
  <r>
    <n v="188"/>
    <x v="1"/>
    <x v="4"/>
    <n v="4995"/>
    <n v="1995"/>
    <x v="3"/>
  </r>
  <r>
    <n v="35"/>
    <x v="12"/>
    <x v="2"/>
    <n v="599"/>
    <n v="299"/>
    <x v="3"/>
  </r>
  <r>
    <n v="37"/>
    <x v="1"/>
    <x v="4"/>
    <n v="4995"/>
    <n v="1995"/>
    <x v="3"/>
  </r>
  <r>
    <n v="133"/>
    <x v="21"/>
    <x v="3"/>
    <n v="4497"/>
    <n v="1797"/>
    <x v="3"/>
  </r>
  <r>
    <n v="2"/>
    <x v="20"/>
    <x v="2"/>
    <n v="1599"/>
    <n v="649"/>
    <x v="3"/>
  </r>
  <r>
    <n v="144"/>
    <x v="16"/>
    <x v="2"/>
    <n v="699"/>
    <n v="349"/>
    <x v="3"/>
  </r>
  <r>
    <n v="95"/>
    <x v="10"/>
    <x v="0"/>
    <n v="1996"/>
    <n v="996"/>
    <x v="3"/>
  </r>
  <r>
    <n v="102"/>
    <x v="4"/>
    <x v="0"/>
    <n v="2396"/>
    <n v="1196"/>
    <x v="3"/>
  </r>
  <r>
    <n v="168"/>
    <x v="9"/>
    <x v="2"/>
    <n v="499"/>
    <n v="249"/>
    <x v="3"/>
  </r>
  <r>
    <n v="197"/>
    <x v="15"/>
    <x v="1"/>
    <n v="1398"/>
    <n v="698"/>
    <x v="3"/>
  </r>
  <r>
    <n v="139"/>
    <x v="13"/>
    <x v="0"/>
    <n v="5596"/>
    <n v="2196"/>
    <x v="3"/>
  </r>
  <r>
    <n v="75"/>
    <x v="0"/>
    <x v="2"/>
    <n v="599"/>
    <n v="299"/>
    <x v="3"/>
  </r>
  <r>
    <n v="127"/>
    <x v="13"/>
    <x v="2"/>
    <n v="1399"/>
    <n v="549"/>
    <x v="3"/>
  </r>
  <r>
    <n v="100"/>
    <x v="13"/>
    <x v="4"/>
    <n v="6995"/>
    <n v="2745"/>
    <x v="3"/>
  </r>
  <r>
    <n v="87"/>
    <x v="16"/>
    <x v="4"/>
    <n v="3495"/>
    <n v="1745"/>
    <x v="3"/>
  </r>
  <r>
    <n v="86"/>
    <x v="23"/>
    <x v="4"/>
    <n v="3495"/>
    <n v="1745"/>
    <x v="3"/>
  </r>
  <r>
    <n v="102"/>
    <x v="3"/>
    <x v="0"/>
    <n v="1196"/>
    <n v="596"/>
    <x v="3"/>
  </r>
  <r>
    <n v="80"/>
    <x v="2"/>
    <x v="4"/>
    <n v="4495"/>
    <n v="1995"/>
    <x v="3"/>
  </r>
  <r>
    <n v="2"/>
    <x v="8"/>
    <x v="1"/>
    <n v="1598"/>
    <n v="698"/>
    <x v="3"/>
  </r>
  <r>
    <n v="129"/>
    <x v="23"/>
    <x v="0"/>
    <n v="2796"/>
    <n v="1396"/>
    <x v="3"/>
  </r>
  <r>
    <n v="196"/>
    <x v="17"/>
    <x v="3"/>
    <n v="3897"/>
    <n v="1497"/>
    <x v="3"/>
  </r>
  <r>
    <n v="85"/>
    <x v="0"/>
    <x v="3"/>
    <n v="1797"/>
    <n v="897"/>
    <x v="3"/>
  </r>
  <r>
    <n v="98"/>
    <x v="12"/>
    <x v="1"/>
    <n v="1198"/>
    <n v="598"/>
    <x v="3"/>
  </r>
  <r>
    <n v="2"/>
    <x v="23"/>
    <x v="3"/>
    <n v="2097"/>
    <n v="104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28"/>
    <n v="23"/>
    <n v="4"/>
    <n v="2396"/>
    <n v="1196"/>
    <s v="Men"/>
    <x v="0"/>
  </r>
  <r>
    <n v="37"/>
    <n v="2"/>
    <n v="2"/>
    <n v="1998"/>
    <n v="798"/>
    <s v="Men"/>
    <x v="1"/>
  </r>
  <r>
    <n v="154"/>
    <n v="9"/>
    <n v="2"/>
    <n v="1798"/>
    <n v="798"/>
    <s v="Men"/>
    <x v="2"/>
  </r>
  <r>
    <n v="179"/>
    <n v="21"/>
    <n v="1"/>
    <n v="299"/>
    <n v="149"/>
    <s v="Men"/>
    <x v="3"/>
  </r>
  <r>
    <n v="4"/>
    <n v="23"/>
    <n v="3"/>
    <n v="1797"/>
    <n v="897"/>
    <s v="Men"/>
    <x v="4"/>
  </r>
  <r>
    <n v="105"/>
    <n v="8"/>
    <n v="3"/>
    <n v="1797"/>
    <n v="897"/>
    <s v="Men"/>
    <x v="5"/>
  </r>
  <r>
    <n v="125"/>
    <n v="25"/>
    <n v="4"/>
    <n v="3196"/>
    <n v="1596"/>
    <s v="Men"/>
    <x v="6"/>
  </r>
  <r>
    <n v="165"/>
    <n v="4"/>
    <n v="3"/>
    <n v="3597"/>
    <n v="1497"/>
    <s v="Men"/>
    <x v="7"/>
  </r>
  <r>
    <n v="108"/>
    <n v="17"/>
    <n v="1"/>
    <n v="399"/>
    <n v="199"/>
    <s v="Men"/>
    <x v="8"/>
  </r>
  <r>
    <n v="189"/>
    <n v="2"/>
    <n v="3"/>
    <n v="2997"/>
    <n v="1197"/>
    <s v="Men"/>
    <x v="6"/>
  </r>
  <r>
    <n v="179"/>
    <n v="17"/>
    <n v="1"/>
    <n v="399"/>
    <n v="199"/>
    <s v="Women"/>
    <x v="9"/>
  </r>
  <r>
    <n v="72"/>
    <n v="18"/>
    <n v="1"/>
    <n v="799"/>
    <n v="349"/>
    <s v="Women"/>
    <x v="10"/>
  </r>
  <r>
    <n v="137"/>
    <n v="13"/>
    <n v="5"/>
    <n v="2495"/>
    <n v="1245"/>
    <s v="Women"/>
    <x v="11"/>
  </r>
  <r>
    <n v="21"/>
    <n v="1"/>
    <n v="3"/>
    <n v="1497"/>
    <n v="747"/>
    <s v="Women"/>
    <x v="12"/>
  </r>
  <r>
    <n v="116"/>
    <n v="22"/>
    <n v="4"/>
    <n v="1396"/>
    <n v="676"/>
    <s v="Women"/>
    <x v="13"/>
  </r>
  <r>
    <n v="114"/>
    <n v="1"/>
    <n v="5"/>
    <n v="2495"/>
    <n v="1245"/>
    <s v="Women"/>
    <x v="14"/>
  </r>
  <r>
    <n v="36"/>
    <n v="1"/>
    <n v="5"/>
    <n v="2495"/>
    <n v="1245"/>
    <s v="Women"/>
    <x v="15"/>
  </r>
  <r>
    <n v="25"/>
    <n v="16"/>
    <n v="2"/>
    <n v="1198"/>
    <n v="598"/>
    <s v="Women"/>
    <x v="16"/>
  </r>
  <r>
    <n v="96"/>
    <n v="2"/>
    <n v="4"/>
    <n v="3996"/>
    <n v="1596"/>
    <s v="Women"/>
    <x v="17"/>
  </r>
  <r>
    <n v="85"/>
    <n v="16"/>
    <n v="2"/>
    <n v="1198"/>
    <n v="598"/>
    <s v="Women"/>
    <x v="18"/>
  </r>
  <r>
    <n v="179"/>
    <n v="20"/>
    <n v="3"/>
    <n v="4197"/>
    <n v="1647"/>
    <s v="Kids"/>
    <x v="19"/>
  </r>
  <r>
    <n v="79"/>
    <n v="11"/>
    <n v="2"/>
    <n v="1598"/>
    <n v="798"/>
    <s v="Kids"/>
    <x v="20"/>
  </r>
  <r>
    <n v="200"/>
    <n v="4"/>
    <n v="3"/>
    <n v="3597"/>
    <n v="1497"/>
    <s v="Kids"/>
    <x v="21"/>
  </r>
  <r>
    <n v="173"/>
    <n v="24"/>
    <n v="4"/>
    <n v="2796"/>
    <n v="1396"/>
    <s v="Kids"/>
    <x v="22"/>
  </r>
  <r>
    <n v="16"/>
    <n v="25"/>
    <n v="1"/>
    <n v="799"/>
    <n v="399"/>
    <s v="Kids"/>
    <x v="23"/>
  </r>
  <r>
    <n v="162"/>
    <n v="22"/>
    <n v="3"/>
    <n v="1047"/>
    <n v="507"/>
    <s v="Kids"/>
    <x v="24"/>
  </r>
  <r>
    <n v="16"/>
    <n v="16"/>
    <n v="1"/>
    <n v="599"/>
    <n v="299"/>
    <s v="Kids"/>
    <x v="25"/>
  </r>
  <r>
    <n v="186"/>
    <n v="24"/>
    <n v="1"/>
    <n v="699"/>
    <n v="349"/>
    <s v="Kids"/>
    <x v="26"/>
  </r>
  <r>
    <n v="54"/>
    <n v="14"/>
    <n v="1"/>
    <n v="699"/>
    <n v="349"/>
    <s v="Kids"/>
    <x v="27"/>
  </r>
  <r>
    <n v="4"/>
    <n v="19"/>
    <n v="5"/>
    <n v="6495"/>
    <n v="2495"/>
    <s v="Kids"/>
    <x v="28"/>
  </r>
  <r>
    <n v="167"/>
    <n v="14"/>
    <n v="1"/>
    <n v="699"/>
    <n v="349"/>
    <s v="Men"/>
    <x v="29"/>
  </r>
  <r>
    <n v="125"/>
    <n v="21"/>
    <n v="3"/>
    <n v="897"/>
    <n v="447"/>
    <s v="Men"/>
    <x v="30"/>
  </r>
  <r>
    <n v="23"/>
    <n v="1"/>
    <n v="5"/>
    <n v="2495"/>
    <n v="1245"/>
    <s v="Men"/>
    <x v="31"/>
  </r>
  <r>
    <n v="17"/>
    <n v="16"/>
    <n v="4"/>
    <n v="2396"/>
    <n v="1196"/>
    <s v="Men"/>
    <x v="32"/>
  </r>
  <r>
    <n v="59"/>
    <n v="18"/>
    <n v="1"/>
    <n v="799"/>
    <n v="349"/>
    <s v="Men"/>
    <x v="33"/>
  </r>
  <r>
    <n v="109"/>
    <n v="12"/>
    <n v="2"/>
    <n v="2398"/>
    <n v="998"/>
    <s v="Women"/>
    <x v="34"/>
  </r>
  <r>
    <n v="23"/>
    <n v="15"/>
    <n v="2"/>
    <n v="2998"/>
    <n v="1198"/>
    <s v="Women"/>
    <x v="35"/>
  </r>
  <r>
    <n v="85"/>
    <n v="10"/>
    <n v="1"/>
    <n v="1599"/>
    <n v="649"/>
    <s v="Women"/>
    <x v="36"/>
  </r>
  <r>
    <n v="24"/>
    <n v="18"/>
    <n v="3"/>
    <n v="2397"/>
    <n v="1047"/>
    <s v="Women"/>
    <x v="37"/>
  </r>
  <r>
    <n v="189"/>
    <n v="25"/>
    <n v="3"/>
    <n v="2397"/>
    <n v="1197"/>
    <s v="Women"/>
    <x v="38"/>
  </r>
  <r>
    <n v="139"/>
    <n v="4"/>
    <n v="2"/>
    <n v="2398"/>
    <n v="998"/>
    <s v="Kids"/>
    <x v="39"/>
  </r>
  <r>
    <n v="137"/>
    <n v="4"/>
    <n v="3"/>
    <n v="3597"/>
    <n v="1497"/>
    <s v="Kids"/>
    <x v="40"/>
  </r>
  <r>
    <n v="180"/>
    <n v="4"/>
    <n v="5"/>
    <n v="5995"/>
    <n v="2495"/>
    <s v="Kids"/>
    <x v="41"/>
  </r>
  <r>
    <n v="102"/>
    <n v="12"/>
    <n v="3"/>
    <n v="3597"/>
    <n v="1497"/>
    <s v="Kids"/>
    <x v="42"/>
  </r>
  <r>
    <n v="65"/>
    <n v="9"/>
    <n v="5"/>
    <n v="4495"/>
    <n v="1995"/>
    <s v="Kids"/>
    <x v="43"/>
  </r>
  <r>
    <n v="97"/>
    <n v="16"/>
    <n v="5"/>
    <n v="2995"/>
    <n v="1495"/>
    <s v="Men"/>
    <x v="44"/>
  </r>
  <r>
    <n v="165"/>
    <n v="21"/>
    <n v="2"/>
    <n v="598"/>
    <n v="298"/>
    <s v="Men"/>
    <x v="45"/>
  </r>
  <r>
    <n v="176"/>
    <n v="8"/>
    <n v="5"/>
    <n v="2995"/>
    <n v="1495"/>
    <s v="Women"/>
    <x v="11"/>
  </r>
  <r>
    <n v="198"/>
    <n v="7"/>
    <n v="2"/>
    <n v="2998"/>
    <n v="1198"/>
    <s v="Women"/>
    <x v="46"/>
  </r>
  <r>
    <n v="154"/>
    <n v="3"/>
    <n v="3"/>
    <n v="2397"/>
    <n v="1047"/>
    <s v="Kids"/>
    <x v="47"/>
  </r>
  <r>
    <n v="87"/>
    <n v="13"/>
    <n v="5"/>
    <n v="2495"/>
    <n v="1245"/>
    <m/>
    <x v="34"/>
  </r>
  <r>
    <n v="9"/>
    <n v="21"/>
    <n v="3"/>
    <n v="897"/>
    <n v="447"/>
    <m/>
    <x v="48"/>
  </r>
  <r>
    <n v="68"/>
    <n v="1"/>
    <n v="1"/>
    <n v="499"/>
    <n v="249"/>
    <m/>
    <x v="49"/>
  </r>
  <r>
    <n v="65"/>
    <n v="13"/>
    <n v="5"/>
    <n v="2495"/>
    <n v="1245"/>
    <m/>
    <x v="50"/>
  </r>
  <r>
    <n v="74"/>
    <n v="14"/>
    <n v="3"/>
    <n v="2097"/>
    <n v="1047"/>
    <m/>
    <x v="51"/>
  </r>
  <r>
    <n v="143"/>
    <n v="15"/>
    <n v="4"/>
    <n v="5996"/>
    <n v="2396"/>
    <m/>
    <x v="52"/>
  </r>
  <r>
    <n v="37"/>
    <n v="12"/>
    <n v="4"/>
    <n v="4796"/>
    <n v="1996"/>
    <m/>
    <x v="53"/>
  </r>
  <r>
    <n v="120"/>
    <n v="10"/>
    <n v="3"/>
    <n v="4797"/>
    <n v="1947"/>
    <m/>
    <x v="54"/>
  </r>
  <r>
    <n v="110"/>
    <n v="24"/>
    <n v="5"/>
    <n v="3495"/>
    <n v="1745"/>
    <m/>
    <x v="55"/>
  </r>
  <r>
    <n v="110"/>
    <n v="3"/>
    <n v="2"/>
    <n v="1598"/>
    <n v="698"/>
    <m/>
    <x v="56"/>
  </r>
  <r>
    <n v="153"/>
    <n v="14"/>
    <n v="3"/>
    <n v="2097"/>
    <n v="1047"/>
    <m/>
    <x v="28"/>
  </r>
  <r>
    <n v="121"/>
    <n v="1"/>
    <n v="3"/>
    <n v="1497"/>
    <n v="747"/>
    <m/>
    <x v="57"/>
  </r>
  <r>
    <n v="62"/>
    <n v="22"/>
    <n v="4"/>
    <n v="1396"/>
    <n v="676"/>
    <m/>
    <x v="16"/>
  </r>
  <r>
    <n v="44"/>
    <n v="18"/>
    <n v="2"/>
    <n v="1598"/>
    <n v="698"/>
    <m/>
    <x v="42"/>
  </r>
  <r>
    <n v="183"/>
    <n v="3"/>
    <n v="4"/>
    <n v="3196"/>
    <n v="1396"/>
    <m/>
    <x v="58"/>
  </r>
  <r>
    <n v="6"/>
    <n v="24"/>
    <n v="2"/>
    <n v="1398"/>
    <n v="698"/>
    <m/>
    <x v="59"/>
  </r>
  <r>
    <n v="140"/>
    <n v="24"/>
    <n v="5"/>
    <n v="3495"/>
    <n v="1745"/>
    <m/>
    <x v="60"/>
  </r>
  <r>
    <n v="13"/>
    <n v="6"/>
    <n v="4"/>
    <n v="2796"/>
    <n v="1396"/>
    <m/>
    <x v="61"/>
  </r>
  <r>
    <n v="94"/>
    <n v="6"/>
    <n v="5"/>
    <n v="3495"/>
    <n v="1745"/>
    <m/>
    <x v="62"/>
  </r>
  <r>
    <n v="102"/>
    <n v="8"/>
    <n v="3"/>
    <n v="1797"/>
    <n v="897"/>
    <m/>
    <x v="29"/>
  </r>
  <r>
    <n v="17"/>
    <n v="9"/>
    <n v="3"/>
    <n v="2697"/>
    <n v="1197"/>
    <m/>
    <x v="6"/>
  </r>
  <r>
    <n v="51"/>
    <n v="3"/>
    <n v="5"/>
    <n v="3995"/>
    <n v="1745"/>
    <m/>
    <x v="63"/>
  </r>
  <r>
    <n v="2"/>
    <n v="8"/>
    <n v="4"/>
    <n v="2396"/>
    <n v="1196"/>
    <m/>
    <x v="64"/>
  </r>
  <r>
    <n v="104"/>
    <n v="14"/>
    <n v="1"/>
    <n v="699"/>
    <n v="349"/>
    <m/>
    <x v="65"/>
  </r>
  <r>
    <n v="2"/>
    <n v="21"/>
    <n v="5"/>
    <n v="1495"/>
    <n v="745"/>
    <m/>
    <x v="66"/>
  </r>
  <r>
    <n v="80"/>
    <n v="20"/>
    <n v="1"/>
    <n v="1399"/>
    <n v="549"/>
    <m/>
    <x v="67"/>
  </r>
  <r>
    <n v="18"/>
    <n v="12"/>
    <n v="1"/>
    <n v="1199"/>
    <n v="499"/>
    <m/>
    <x v="68"/>
  </r>
  <r>
    <n v="186"/>
    <n v="20"/>
    <n v="5"/>
    <n v="6995"/>
    <n v="2745"/>
    <m/>
    <x v="69"/>
  </r>
  <r>
    <n v="140"/>
    <n v="25"/>
    <n v="2"/>
    <n v="1598"/>
    <n v="798"/>
    <m/>
    <x v="70"/>
  </r>
  <r>
    <n v="183"/>
    <n v="12"/>
    <n v="1"/>
    <n v="1199"/>
    <n v="499"/>
    <m/>
    <x v="71"/>
  </r>
  <r>
    <n v="39"/>
    <n v="14"/>
    <n v="4"/>
    <n v="2796"/>
    <n v="1396"/>
    <m/>
    <x v="72"/>
  </r>
  <r>
    <n v="143"/>
    <n v="6"/>
    <n v="1"/>
    <n v="699"/>
    <n v="349"/>
    <m/>
    <x v="3"/>
  </r>
  <r>
    <n v="127"/>
    <n v="5"/>
    <n v="3"/>
    <n v="1197"/>
    <n v="597"/>
    <m/>
    <x v="73"/>
  </r>
  <r>
    <n v="20"/>
    <n v="8"/>
    <n v="5"/>
    <n v="2995"/>
    <n v="1495"/>
    <m/>
    <x v="74"/>
  </r>
  <r>
    <n v="47"/>
    <n v="14"/>
    <n v="3"/>
    <n v="2097"/>
    <n v="1047"/>
    <m/>
    <x v="75"/>
  </r>
  <r>
    <n v="133"/>
    <n v="18"/>
    <n v="1"/>
    <n v="799"/>
    <n v="349"/>
    <m/>
    <x v="63"/>
  </r>
  <r>
    <n v="47"/>
    <n v="1"/>
    <n v="1"/>
    <n v="499"/>
    <n v="249"/>
    <m/>
    <x v="76"/>
  </r>
  <r>
    <n v="107"/>
    <n v="18"/>
    <n v="1"/>
    <n v="799"/>
    <n v="349"/>
    <m/>
    <x v="77"/>
  </r>
  <r>
    <n v="189"/>
    <n v="20"/>
    <n v="3"/>
    <n v="4197"/>
    <n v="1647"/>
    <m/>
    <x v="72"/>
  </r>
  <r>
    <n v="170"/>
    <n v="9"/>
    <n v="5"/>
    <n v="4495"/>
    <n v="1995"/>
    <m/>
    <x v="78"/>
  </r>
  <r>
    <n v="4"/>
    <n v="16"/>
    <n v="2"/>
    <n v="1198"/>
    <n v="598"/>
    <m/>
    <x v="79"/>
  </r>
  <r>
    <n v="142"/>
    <n v="10"/>
    <n v="4"/>
    <n v="6396"/>
    <n v="2596"/>
    <m/>
    <x v="80"/>
  </r>
  <r>
    <n v="168"/>
    <n v="24"/>
    <n v="3"/>
    <n v="2097"/>
    <n v="1047"/>
    <m/>
    <x v="81"/>
  </r>
  <r>
    <n v="164"/>
    <n v="12"/>
    <n v="3"/>
    <n v="3597"/>
    <n v="1497"/>
    <m/>
    <x v="16"/>
  </r>
  <r>
    <n v="28"/>
    <n v="9"/>
    <n v="5"/>
    <n v="4495"/>
    <n v="1995"/>
    <m/>
    <x v="82"/>
  </r>
  <r>
    <n v="151"/>
    <n v="15"/>
    <n v="1"/>
    <n v="1499"/>
    <n v="599"/>
    <m/>
    <x v="44"/>
  </r>
  <r>
    <n v="199"/>
    <n v="22"/>
    <n v="5"/>
    <n v="1745"/>
    <n v="845"/>
    <m/>
    <x v="83"/>
  </r>
  <r>
    <n v="46"/>
    <n v="10"/>
    <n v="5"/>
    <n v="7995"/>
    <n v="3245"/>
    <m/>
    <x v="32"/>
  </r>
  <r>
    <n v="156"/>
    <n v="3"/>
    <n v="4"/>
    <n v="3196"/>
    <n v="1396"/>
    <m/>
    <x v="84"/>
  </r>
  <r>
    <n v="177"/>
    <n v="9"/>
    <n v="1"/>
    <n v="899"/>
    <n v="399"/>
    <m/>
    <x v="85"/>
  </r>
  <r>
    <n v="95"/>
    <n v="6"/>
    <n v="2"/>
    <n v="1398"/>
    <n v="698"/>
    <m/>
    <x v="86"/>
  </r>
  <r>
    <n v="149"/>
    <n v="3"/>
    <n v="3"/>
    <n v="2397"/>
    <n v="1047"/>
    <m/>
    <x v="87"/>
  </r>
  <r>
    <n v="85"/>
    <n v="8"/>
    <n v="5"/>
    <n v="2995"/>
    <n v="1495"/>
    <m/>
    <x v="88"/>
  </r>
  <r>
    <n v="60"/>
    <n v="14"/>
    <n v="3"/>
    <n v="2097"/>
    <n v="1047"/>
    <m/>
    <x v="89"/>
  </r>
  <r>
    <n v="113"/>
    <n v="14"/>
    <n v="5"/>
    <n v="3495"/>
    <n v="1745"/>
    <m/>
    <x v="90"/>
  </r>
  <r>
    <n v="92"/>
    <n v="15"/>
    <n v="1"/>
    <n v="1499"/>
    <n v="599"/>
    <m/>
    <x v="91"/>
  </r>
  <r>
    <n v="12"/>
    <n v="18"/>
    <n v="1"/>
    <n v="799"/>
    <n v="349"/>
    <m/>
    <x v="68"/>
  </r>
  <r>
    <n v="70"/>
    <n v="4"/>
    <n v="5"/>
    <n v="5995"/>
    <n v="2495"/>
    <m/>
    <x v="92"/>
  </r>
  <r>
    <n v="132"/>
    <n v="8"/>
    <n v="4"/>
    <n v="2396"/>
    <n v="1196"/>
    <m/>
    <x v="93"/>
  </r>
  <r>
    <n v="194"/>
    <n v="23"/>
    <n v="2"/>
    <n v="1198"/>
    <n v="598"/>
    <m/>
    <x v="30"/>
  </r>
  <r>
    <n v="200"/>
    <n v="4"/>
    <n v="2"/>
    <n v="2398"/>
    <n v="998"/>
    <m/>
    <x v="94"/>
  </r>
  <r>
    <n v="25"/>
    <n v="3"/>
    <n v="5"/>
    <n v="3995"/>
    <n v="1745"/>
    <m/>
    <x v="95"/>
  </r>
  <r>
    <n v="120"/>
    <n v="16"/>
    <n v="4"/>
    <n v="2396"/>
    <n v="1196"/>
    <m/>
    <x v="96"/>
  </r>
  <r>
    <n v="197"/>
    <n v="5"/>
    <n v="5"/>
    <n v="1995"/>
    <n v="995"/>
    <m/>
    <x v="13"/>
  </r>
  <r>
    <n v="180"/>
    <n v="24"/>
    <n v="2"/>
    <n v="1398"/>
    <n v="698"/>
    <m/>
    <x v="97"/>
  </r>
  <r>
    <n v="97"/>
    <n v="22"/>
    <n v="4"/>
    <n v="1396"/>
    <n v="676"/>
    <m/>
    <x v="98"/>
  </r>
  <r>
    <n v="106"/>
    <n v="7"/>
    <n v="4"/>
    <n v="5996"/>
    <n v="2396"/>
    <m/>
    <x v="92"/>
  </r>
  <r>
    <n v="177"/>
    <n v="19"/>
    <n v="1"/>
    <n v="1299"/>
    <n v="499"/>
    <m/>
    <x v="99"/>
  </r>
  <r>
    <n v="141"/>
    <n v="12"/>
    <n v="5"/>
    <n v="5995"/>
    <n v="2495"/>
    <m/>
    <x v="73"/>
  </r>
  <r>
    <n v="80"/>
    <n v="15"/>
    <n v="5"/>
    <n v="7495"/>
    <n v="2995"/>
    <m/>
    <x v="100"/>
  </r>
  <r>
    <n v="61"/>
    <n v="25"/>
    <n v="2"/>
    <n v="1598"/>
    <n v="798"/>
    <m/>
    <x v="59"/>
  </r>
  <r>
    <n v="168"/>
    <n v="25"/>
    <n v="5"/>
    <n v="3995"/>
    <n v="1995"/>
    <m/>
    <x v="101"/>
  </r>
  <r>
    <n v="198"/>
    <n v="24"/>
    <n v="2"/>
    <n v="1398"/>
    <n v="698"/>
    <m/>
    <x v="102"/>
  </r>
  <r>
    <n v="26"/>
    <n v="17"/>
    <n v="2"/>
    <n v="798"/>
    <n v="398"/>
    <m/>
    <x v="103"/>
  </r>
  <r>
    <n v="75"/>
    <n v="9"/>
    <n v="4"/>
    <n v="3596"/>
    <n v="1596"/>
    <m/>
    <x v="104"/>
  </r>
  <r>
    <n v="92"/>
    <n v="20"/>
    <n v="1"/>
    <n v="1399"/>
    <n v="549"/>
    <m/>
    <x v="100"/>
  </r>
  <r>
    <n v="104"/>
    <n v="20"/>
    <n v="5"/>
    <n v="6995"/>
    <n v="2745"/>
    <m/>
    <x v="56"/>
  </r>
  <r>
    <n v="167"/>
    <n v="6"/>
    <n v="4"/>
    <n v="2796"/>
    <n v="1396"/>
    <m/>
    <x v="56"/>
  </r>
  <r>
    <n v="140"/>
    <n v="4"/>
    <n v="5"/>
    <n v="5995"/>
    <n v="2495"/>
    <m/>
    <x v="35"/>
  </r>
  <r>
    <n v="173"/>
    <n v="8"/>
    <n v="2"/>
    <n v="1198"/>
    <n v="598"/>
    <m/>
    <x v="105"/>
  </r>
  <r>
    <n v="67"/>
    <n v="4"/>
    <n v="4"/>
    <n v="4796"/>
    <n v="1996"/>
    <m/>
    <x v="43"/>
  </r>
  <r>
    <n v="138"/>
    <n v="9"/>
    <n v="1"/>
    <n v="899"/>
    <n v="399"/>
    <m/>
    <x v="75"/>
  </r>
  <r>
    <n v="97"/>
    <n v="15"/>
    <n v="5"/>
    <n v="7495"/>
    <n v="2995"/>
    <m/>
    <x v="106"/>
  </r>
  <r>
    <n v="109"/>
    <n v="24"/>
    <n v="2"/>
    <n v="1398"/>
    <n v="698"/>
    <m/>
    <x v="107"/>
  </r>
  <r>
    <n v="126"/>
    <n v="8"/>
    <n v="3"/>
    <n v="1797"/>
    <n v="897"/>
    <m/>
    <x v="108"/>
  </r>
  <r>
    <n v="117"/>
    <n v="14"/>
    <n v="3"/>
    <n v="2097"/>
    <n v="1047"/>
    <m/>
    <x v="109"/>
  </r>
  <r>
    <n v="100"/>
    <n v="8"/>
    <n v="1"/>
    <n v="599"/>
    <n v="299"/>
    <m/>
    <x v="110"/>
  </r>
  <r>
    <n v="41"/>
    <n v="22"/>
    <n v="3"/>
    <n v="1047"/>
    <n v="507"/>
    <m/>
    <x v="79"/>
  </r>
  <r>
    <n v="80"/>
    <n v="23"/>
    <n v="4"/>
    <n v="2396"/>
    <n v="1196"/>
    <m/>
    <x v="50"/>
  </r>
  <r>
    <n v="32"/>
    <n v="24"/>
    <n v="3"/>
    <n v="2097"/>
    <n v="1047"/>
    <m/>
    <x v="111"/>
  </r>
  <r>
    <n v="19"/>
    <n v="1"/>
    <n v="2"/>
    <n v="998"/>
    <n v="498"/>
    <m/>
    <x v="112"/>
  </r>
  <r>
    <n v="96"/>
    <n v="21"/>
    <n v="3"/>
    <n v="897"/>
    <n v="447"/>
    <m/>
    <x v="76"/>
  </r>
  <r>
    <n v="162"/>
    <n v="3"/>
    <n v="3"/>
    <n v="2397"/>
    <n v="1047"/>
    <m/>
    <x v="113"/>
  </r>
  <r>
    <n v="109"/>
    <n v="14"/>
    <n v="3"/>
    <n v="2097"/>
    <n v="1047"/>
    <m/>
    <x v="46"/>
  </r>
  <r>
    <n v="200"/>
    <n v="17"/>
    <n v="3"/>
    <n v="1197"/>
    <n v="597"/>
    <m/>
    <x v="13"/>
  </r>
  <r>
    <n v="126"/>
    <n v="9"/>
    <n v="3"/>
    <n v="2697"/>
    <n v="1197"/>
    <m/>
    <x v="114"/>
  </r>
  <r>
    <n v="159"/>
    <n v="8"/>
    <n v="5"/>
    <n v="2995"/>
    <n v="1495"/>
    <m/>
    <x v="115"/>
  </r>
  <r>
    <n v="91"/>
    <n v="6"/>
    <n v="4"/>
    <n v="2796"/>
    <n v="1396"/>
    <m/>
    <x v="116"/>
  </r>
  <r>
    <n v="117"/>
    <n v="10"/>
    <n v="3"/>
    <n v="4797"/>
    <n v="1947"/>
    <m/>
    <x v="117"/>
  </r>
  <r>
    <n v="196"/>
    <n v="14"/>
    <n v="4"/>
    <n v="2796"/>
    <n v="1396"/>
    <m/>
    <x v="118"/>
  </r>
  <r>
    <n v="169"/>
    <n v="23"/>
    <n v="2"/>
    <n v="1198"/>
    <n v="598"/>
    <m/>
    <x v="119"/>
  </r>
  <r>
    <n v="64"/>
    <n v="25"/>
    <n v="1"/>
    <n v="799"/>
    <n v="399"/>
    <m/>
    <x v="120"/>
  </r>
  <r>
    <n v="176"/>
    <n v="21"/>
    <n v="5"/>
    <n v="1495"/>
    <n v="745"/>
    <m/>
    <x v="121"/>
  </r>
  <r>
    <n v="15"/>
    <n v="15"/>
    <n v="4"/>
    <n v="5996"/>
    <n v="2396"/>
    <m/>
    <x v="122"/>
  </r>
  <r>
    <n v="83"/>
    <n v="23"/>
    <n v="4"/>
    <n v="2396"/>
    <n v="1196"/>
    <m/>
    <x v="123"/>
  </r>
  <r>
    <n v="28"/>
    <n v="1"/>
    <n v="5"/>
    <n v="2495"/>
    <n v="1245"/>
    <m/>
    <x v="4"/>
  </r>
  <r>
    <n v="7"/>
    <n v="9"/>
    <n v="4"/>
    <n v="3596"/>
    <n v="1596"/>
    <m/>
    <x v="124"/>
  </r>
  <r>
    <n v="125"/>
    <n v="23"/>
    <n v="1"/>
    <n v="599"/>
    <n v="299"/>
    <m/>
    <x v="125"/>
  </r>
  <r>
    <n v="110"/>
    <n v="7"/>
    <n v="5"/>
    <n v="7495"/>
    <n v="2995"/>
    <m/>
    <x v="126"/>
  </r>
  <r>
    <n v="135"/>
    <n v="18"/>
    <n v="5"/>
    <n v="3995"/>
    <n v="1745"/>
    <m/>
    <x v="22"/>
  </r>
  <r>
    <n v="50"/>
    <n v="24"/>
    <n v="1"/>
    <n v="699"/>
    <n v="349"/>
    <m/>
    <x v="127"/>
  </r>
  <r>
    <n v="102"/>
    <n v="22"/>
    <n v="4"/>
    <n v="1396"/>
    <n v="676"/>
    <m/>
    <x v="67"/>
  </r>
  <r>
    <n v="117"/>
    <n v="23"/>
    <n v="1"/>
    <n v="599"/>
    <n v="299"/>
    <m/>
    <x v="88"/>
  </r>
  <r>
    <n v="95"/>
    <n v="22"/>
    <n v="3"/>
    <n v="1047"/>
    <n v="507"/>
    <m/>
    <x v="128"/>
  </r>
  <r>
    <n v="192"/>
    <n v="2"/>
    <n v="4"/>
    <n v="3996"/>
    <n v="1596"/>
    <m/>
    <x v="121"/>
  </r>
  <r>
    <n v="151"/>
    <n v="14"/>
    <n v="2"/>
    <n v="1398"/>
    <n v="698"/>
    <m/>
    <x v="129"/>
  </r>
  <r>
    <n v="75"/>
    <n v="24"/>
    <n v="5"/>
    <n v="3495"/>
    <n v="1745"/>
    <m/>
    <x v="130"/>
  </r>
  <r>
    <n v="75"/>
    <n v="20"/>
    <n v="4"/>
    <n v="5596"/>
    <n v="2196"/>
    <m/>
    <x v="131"/>
  </r>
  <r>
    <n v="170"/>
    <n v="19"/>
    <n v="4"/>
    <n v="5196"/>
    <n v="1996"/>
    <m/>
    <x v="110"/>
  </r>
  <r>
    <n v="199"/>
    <n v="23"/>
    <n v="2"/>
    <n v="1198"/>
    <n v="598"/>
    <m/>
    <x v="132"/>
  </r>
  <r>
    <n v="6"/>
    <n v="19"/>
    <n v="4"/>
    <n v="5196"/>
    <n v="1996"/>
    <m/>
    <x v="95"/>
  </r>
  <r>
    <n v="94"/>
    <n v="19"/>
    <n v="5"/>
    <n v="6495"/>
    <n v="2495"/>
    <m/>
    <x v="133"/>
  </r>
  <r>
    <n v="111"/>
    <n v="14"/>
    <n v="1"/>
    <n v="699"/>
    <n v="349"/>
    <m/>
    <x v="134"/>
  </r>
  <r>
    <n v="31"/>
    <n v="24"/>
    <n v="5"/>
    <n v="3495"/>
    <n v="1745"/>
    <m/>
    <x v="48"/>
  </r>
  <r>
    <n v="7"/>
    <n v="8"/>
    <n v="4"/>
    <n v="2396"/>
    <n v="1196"/>
    <m/>
    <x v="135"/>
  </r>
  <r>
    <n v="141"/>
    <n v="23"/>
    <n v="5"/>
    <n v="2995"/>
    <n v="1495"/>
    <m/>
    <x v="74"/>
  </r>
  <r>
    <n v="80"/>
    <n v="8"/>
    <n v="2"/>
    <n v="1198"/>
    <n v="598"/>
    <m/>
    <x v="10"/>
  </r>
  <r>
    <n v="147"/>
    <n v="5"/>
    <n v="4"/>
    <n v="1596"/>
    <n v="796"/>
    <m/>
    <x v="136"/>
  </r>
  <r>
    <n v="144"/>
    <n v="15"/>
    <n v="4"/>
    <n v="5996"/>
    <n v="2396"/>
    <m/>
    <x v="137"/>
  </r>
  <r>
    <n v="50"/>
    <n v="23"/>
    <n v="5"/>
    <n v="2995"/>
    <n v="1495"/>
    <m/>
    <x v="138"/>
  </r>
  <r>
    <n v="188"/>
    <n v="14"/>
    <n v="5"/>
    <n v="3495"/>
    <n v="1745"/>
    <m/>
    <x v="139"/>
  </r>
  <r>
    <n v="96"/>
    <n v="22"/>
    <n v="3"/>
    <n v="1047"/>
    <n v="507"/>
    <m/>
    <x v="140"/>
  </r>
  <r>
    <n v="116"/>
    <n v="8"/>
    <n v="1"/>
    <n v="599"/>
    <n v="299"/>
    <m/>
    <x v="141"/>
  </r>
  <r>
    <n v="172"/>
    <n v="8"/>
    <n v="3"/>
    <n v="1797"/>
    <n v="897"/>
    <m/>
    <x v="19"/>
  </r>
  <r>
    <n v="180"/>
    <n v="23"/>
    <n v="5"/>
    <n v="2995"/>
    <n v="1495"/>
    <m/>
    <x v="142"/>
  </r>
  <r>
    <n v="8"/>
    <n v="23"/>
    <n v="3"/>
    <n v="1797"/>
    <n v="897"/>
    <m/>
    <x v="127"/>
  </r>
  <r>
    <n v="185"/>
    <n v="23"/>
    <n v="3"/>
    <n v="1797"/>
    <n v="897"/>
    <m/>
    <x v="4"/>
  </r>
  <r>
    <n v="3"/>
    <n v="22"/>
    <n v="2"/>
    <n v="698"/>
    <n v="338"/>
    <m/>
    <x v="143"/>
  </r>
  <r>
    <n v="36"/>
    <n v="25"/>
    <n v="4"/>
    <n v="3196"/>
    <n v="1596"/>
    <m/>
    <x v="144"/>
  </r>
  <r>
    <n v="47"/>
    <n v="24"/>
    <n v="4"/>
    <n v="2796"/>
    <n v="1396"/>
    <m/>
    <x v="57"/>
  </r>
  <r>
    <n v="80"/>
    <n v="9"/>
    <n v="5"/>
    <n v="4495"/>
    <n v="1995"/>
    <m/>
    <x v="145"/>
  </r>
  <r>
    <n v="145"/>
    <n v="10"/>
    <n v="4"/>
    <n v="6396"/>
    <n v="2596"/>
    <m/>
    <x v="146"/>
  </r>
  <r>
    <n v="166"/>
    <n v="23"/>
    <n v="5"/>
    <n v="2995"/>
    <n v="1495"/>
    <m/>
    <x v="147"/>
  </r>
  <r>
    <n v="122"/>
    <n v="2"/>
    <n v="2"/>
    <n v="1998"/>
    <n v="798"/>
    <m/>
    <x v="109"/>
  </r>
  <r>
    <n v="24"/>
    <n v="13"/>
    <n v="2"/>
    <n v="998"/>
    <n v="498"/>
    <m/>
    <x v="148"/>
  </r>
  <r>
    <n v="76"/>
    <n v="11"/>
    <n v="4"/>
    <n v="3196"/>
    <n v="1596"/>
    <m/>
    <x v="149"/>
  </r>
  <r>
    <n v="133"/>
    <n v="5"/>
    <n v="1"/>
    <n v="399"/>
    <n v="199"/>
    <m/>
    <x v="150"/>
  </r>
  <r>
    <n v="183"/>
    <n v="4"/>
    <n v="3"/>
    <n v="3597"/>
    <n v="1497"/>
    <m/>
    <x v="97"/>
  </r>
  <r>
    <n v="144"/>
    <n v="16"/>
    <n v="2"/>
    <n v="1198"/>
    <n v="598"/>
    <m/>
    <x v="96"/>
  </r>
  <r>
    <n v="117"/>
    <n v="5"/>
    <n v="3"/>
    <n v="1197"/>
    <n v="597"/>
    <m/>
    <x v="151"/>
  </r>
  <r>
    <n v="186"/>
    <n v="19"/>
    <n v="4"/>
    <n v="5196"/>
    <n v="1996"/>
    <m/>
    <x v="152"/>
  </r>
  <r>
    <n v="165"/>
    <n v="7"/>
    <n v="4"/>
    <n v="5996"/>
    <n v="2396"/>
    <m/>
    <x v="152"/>
  </r>
  <r>
    <n v="87"/>
    <n v="15"/>
    <n v="3"/>
    <n v="4497"/>
    <n v="1797"/>
    <m/>
    <x v="152"/>
  </r>
  <r>
    <n v="141"/>
    <n v="7"/>
    <n v="2"/>
    <n v="2998"/>
    <n v="1198"/>
    <m/>
    <x v="152"/>
  </r>
  <r>
    <n v="193"/>
    <n v="19"/>
    <n v="5"/>
    <n v="6495"/>
    <n v="2495"/>
    <m/>
    <x v="152"/>
  </r>
  <r>
    <n v="89"/>
    <n v="6"/>
    <n v="4"/>
    <n v="2796"/>
    <n v="1396"/>
    <m/>
    <x v="152"/>
  </r>
  <r>
    <n v="57"/>
    <n v="4"/>
    <n v="4"/>
    <n v="4796"/>
    <n v="1996"/>
    <m/>
    <x v="152"/>
  </r>
  <r>
    <n v="70"/>
    <n v="9"/>
    <n v="3"/>
    <n v="2697"/>
    <n v="1197"/>
    <m/>
    <x v="152"/>
  </r>
  <r>
    <n v="83"/>
    <n v="24"/>
    <n v="1"/>
    <n v="699"/>
    <n v="349"/>
    <m/>
    <x v="152"/>
  </r>
  <r>
    <n v="18"/>
    <n v="2"/>
    <n v="4"/>
    <n v="3996"/>
    <n v="1596"/>
    <m/>
    <x v="152"/>
  </r>
  <r>
    <n v="181"/>
    <n v="23"/>
    <n v="5"/>
    <n v="2995"/>
    <n v="1495"/>
    <m/>
    <x v="152"/>
  </r>
  <r>
    <n v="142"/>
    <n v="3"/>
    <n v="2"/>
    <n v="1598"/>
    <n v="698"/>
    <m/>
    <x v="152"/>
  </r>
  <r>
    <n v="200"/>
    <n v="17"/>
    <n v="2"/>
    <n v="798"/>
    <n v="398"/>
    <m/>
    <x v="152"/>
  </r>
  <r>
    <n v="44"/>
    <n v="14"/>
    <n v="5"/>
    <n v="3495"/>
    <n v="1745"/>
    <m/>
    <x v="152"/>
  </r>
  <r>
    <n v="105"/>
    <n v="18"/>
    <n v="4"/>
    <n v="3196"/>
    <n v="1396"/>
    <m/>
    <x v="152"/>
  </r>
  <r>
    <n v="161"/>
    <n v="11"/>
    <n v="2"/>
    <n v="1598"/>
    <n v="798"/>
    <m/>
    <x v="152"/>
  </r>
  <r>
    <n v="127"/>
    <n v="21"/>
    <n v="2"/>
    <n v="598"/>
    <n v="298"/>
    <m/>
    <x v="152"/>
  </r>
  <r>
    <n v="79"/>
    <n v="22"/>
    <n v="2"/>
    <n v="698"/>
    <n v="338"/>
    <m/>
    <x v="152"/>
  </r>
  <r>
    <n v="122"/>
    <n v="10"/>
    <n v="1"/>
    <n v="1599"/>
    <n v="649"/>
    <m/>
    <x v="152"/>
  </r>
  <r>
    <n v="29"/>
    <n v="6"/>
    <n v="4"/>
    <n v="2796"/>
    <n v="1396"/>
    <m/>
    <x v="152"/>
  </r>
  <r>
    <n v="67"/>
    <n v="23"/>
    <n v="5"/>
    <n v="2995"/>
    <n v="1495"/>
    <m/>
    <x v="152"/>
  </r>
  <r>
    <n v="104"/>
    <n v="10"/>
    <n v="5"/>
    <n v="7995"/>
    <n v="3245"/>
    <m/>
    <x v="152"/>
  </r>
  <r>
    <n v="13"/>
    <n v="11"/>
    <n v="3"/>
    <n v="2397"/>
    <n v="1197"/>
    <m/>
    <x v="152"/>
  </r>
  <r>
    <n v="133"/>
    <n v="16"/>
    <n v="1"/>
    <n v="599"/>
    <n v="299"/>
    <m/>
    <x v="152"/>
  </r>
  <r>
    <n v="23"/>
    <n v="7"/>
    <n v="2"/>
    <n v="2998"/>
    <n v="1198"/>
    <m/>
    <x v="152"/>
  </r>
  <r>
    <n v="51"/>
    <n v="19"/>
    <n v="2"/>
    <n v="2598"/>
    <n v="998"/>
    <m/>
    <x v="152"/>
  </r>
  <r>
    <n v="92"/>
    <n v="4"/>
    <n v="5"/>
    <n v="5995"/>
    <n v="2495"/>
    <m/>
    <x v="152"/>
  </r>
  <r>
    <n v="7"/>
    <n v="15"/>
    <n v="1"/>
    <n v="1499"/>
    <n v="599"/>
    <m/>
    <x v="152"/>
  </r>
  <r>
    <n v="187"/>
    <n v="19"/>
    <n v="4"/>
    <n v="5196"/>
    <n v="1996"/>
    <m/>
    <x v="152"/>
  </r>
  <r>
    <n v="113"/>
    <n v="6"/>
    <n v="1"/>
    <n v="699"/>
    <n v="349"/>
    <m/>
    <x v="152"/>
  </r>
  <r>
    <n v="175"/>
    <n v="20"/>
    <n v="2"/>
    <n v="2798"/>
    <n v="1098"/>
    <m/>
    <x v="152"/>
  </r>
  <r>
    <n v="24"/>
    <n v="7"/>
    <n v="5"/>
    <n v="7495"/>
    <n v="2995"/>
    <m/>
    <x v="152"/>
  </r>
  <r>
    <n v="48"/>
    <n v="8"/>
    <n v="3"/>
    <n v="1797"/>
    <n v="897"/>
    <m/>
    <x v="152"/>
  </r>
  <r>
    <n v="165"/>
    <n v="14"/>
    <n v="4"/>
    <n v="2796"/>
    <n v="1396"/>
    <m/>
    <x v="152"/>
  </r>
  <r>
    <n v="166"/>
    <n v="4"/>
    <n v="5"/>
    <n v="5995"/>
    <n v="2495"/>
    <m/>
    <x v="152"/>
  </r>
  <r>
    <n v="60"/>
    <n v="16"/>
    <n v="2"/>
    <n v="1198"/>
    <n v="598"/>
    <m/>
    <x v="152"/>
  </r>
  <r>
    <n v="96"/>
    <n v="8"/>
    <n v="5"/>
    <n v="2995"/>
    <n v="1495"/>
    <m/>
    <x v="152"/>
  </r>
  <r>
    <n v="45"/>
    <n v="1"/>
    <n v="3"/>
    <n v="1497"/>
    <n v="747"/>
    <m/>
    <x v="152"/>
  </r>
  <r>
    <n v="136"/>
    <n v="20"/>
    <n v="3"/>
    <n v="4197"/>
    <n v="1647"/>
    <m/>
    <x v="152"/>
  </r>
  <r>
    <n v="61"/>
    <n v="15"/>
    <n v="4"/>
    <n v="5996"/>
    <n v="2396"/>
    <m/>
    <x v="152"/>
  </r>
  <r>
    <n v="44"/>
    <n v="6"/>
    <n v="2"/>
    <n v="1398"/>
    <n v="698"/>
    <m/>
    <x v="152"/>
  </r>
  <r>
    <n v="123"/>
    <n v="10"/>
    <n v="4"/>
    <n v="6396"/>
    <n v="2596"/>
    <m/>
    <x v="152"/>
  </r>
  <r>
    <n v="194"/>
    <n v="5"/>
    <n v="4"/>
    <n v="1596"/>
    <n v="796"/>
    <m/>
    <x v="152"/>
  </r>
  <r>
    <n v="121"/>
    <n v="6"/>
    <n v="1"/>
    <n v="699"/>
    <n v="349"/>
    <m/>
    <x v="152"/>
  </r>
  <r>
    <n v="57"/>
    <n v="10"/>
    <n v="3"/>
    <n v="4797"/>
    <n v="1947"/>
    <m/>
    <x v="152"/>
  </r>
  <r>
    <n v="113"/>
    <n v="3"/>
    <n v="1"/>
    <n v="799"/>
    <n v="349"/>
    <m/>
    <x v="152"/>
  </r>
  <r>
    <n v="178"/>
    <n v="22"/>
    <n v="1"/>
    <n v="349"/>
    <n v="169"/>
    <m/>
    <x v="152"/>
  </r>
  <r>
    <n v="119"/>
    <n v="20"/>
    <n v="1"/>
    <n v="1399"/>
    <n v="549"/>
    <m/>
    <x v="152"/>
  </r>
  <r>
    <n v="6"/>
    <n v="23"/>
    <n v="2"/>
    <n v="1198"/>
    <n v="598"/>
    <m/>
    <x v="152"/>
  </r>
  <r>
    <n v="95"/>
    <n v="12"/>
    <n v="1"/>
    <n v="1199"/>
    <n v="499"/>
    <m/>
    <x v="152"/>
  </r>
  <r>
    <n v="37"/>
    <n v="2"/>
    <n v="2"/>
    <n v="1998"/>
    <n v="798"/>
    <m/>
    <x v="152"/>
  </r>
  <r>
    <n v="79"/>
    <n v="5"/>
    <n v="4"/>
    <n v="1596"/>
    <n v="796"/>
    <m/>
    <x v="152"/>
  </r>
  <r>
    <n v="148"/>
    <n v="2"/>
    <n v="3"/>
    <n v="2997"/>
    <n v="1197"/>
    <m/>
    <x v="152"/>
  </r>
  <r>
    <n v="106"/>
    <n v="20"/>
    <n v="5"/>
    <n v="6995"/>
    <n v="2745"/>
    <m/>
    <x v="152"/>
  </r>
  <r>
    <n v="182"/>
    <n v="21"/>
    <n v="5"/>
    <n v="1495"/>
    <n v="745"/>
    <m/>
    <x v="152"/>
  </r>
  <r>
    <n v="13"/>
    <n v="21"/>
    <n v="4"/>
    <n v="1196"/>
    <n v="596"/>
    <m/>
    <x v="152"/>
  </r>
  <r>
    <n v="3"/>
    <n v="4"/>
    <n v="4"/>
    <n v="4796"/>
    <n v="1996"/>
    <m/>
    <x v="152"/>
  </r>
  <r>
    <n v="56"/>
    <n v="4"/>
    <n v="1"/>
    <n v="1199"/>
    <n v="499"/>
    <m/>
    <x v="152"/>
  </r>
  <r>
    <n v="143"/>
    <n v="1"/>
    <n v="3"/>
    <n v="1497"/>
    <n v="747"/>
    <m/>
    <x v="152"/>
  </r>
  <r>
    <n v="158"/>
    <n v="12"/>
    <n v="5"/>
    <n v="5995"/>
    <n v="2495"/>
    <m/>
    <x v="152"/>
  </r>
  <r>
    <n v="84"/>
    <n v="10"/>
    <n v="2"/>
    <n v="3198"/>
    <n v="1298"/>
    <m/>
    <x v="152"/>
  </r>
  <r>
    <n v="161"/>
    <n v="25"/>
    <n v="1"/>
    <n v="799"/>
    <n v="399"/>
    <m/>
    <x v="152"/>
  </r>
  <r>
    <n v="24"/>
    <n v="11"/>
    <n v="3"/>
    <n v="2397"/>
    <n v="1197"/>
    <m/>
    <x v="152"/>
  </r>
  <r>
    <n v="66"/>
    <n v="3"/>
    <n v="3"/>
    <n v="2397"/>
    <n v="1047"/>
    <m/>
    <x v="152"/>
  </r>
  <r>
    <n v="196"/>
    <n v="18"/>
    <n v="2"/>
    <n v="1598"/>
    <n v="698"/>
    <m/>
    <x v="152"/>
  </r>
  <r>
    <n v="141"/>
    <n v="25"/>
    <n v="1"/>
    <n v="799"/>
    <n v="399"/>
    <m/>
    <x v="152"/>
  </r>
  <r>
    <n v="86"/>
    <n v="11"/>
    <n v="4"/>
    <n v="3196"/>
    <n v="1596"/>
    <m/>
    <x v="152"/>
  </r>
  <r>
    <n v="91"/>
    <n v="12"/>
    <n v="2"/>
    <n v="2398"/>
    <n v="998"/>
    <m/>
    <x v="152"/>
  </r>
  <r>
    <n v="119"/>
    <n v="18"/>
    <n v="2"/>
    <n v="1598"/>
    <n v="698"/>
    <m/>
    <x v="152"/>
  </r>
  <r>
    <n v="49"/>
    <n v="13"/>
    <n v="3"/>
    <n v="1497"/>
    <n v="747"/>
    <m/>
    <x v="152"/>
  </r>
  <r>
    <n v="118"/>
    <n v="15"/>
    <n v="3"/>
    <n v="4497"/>
    <n v="1797"/>
    <m/>
    <x v="152"/>
  </r>
  <r>
    <n v="31"/>
    <n v="12"/>
    <n v="3"/>
    <n v="3597"/>
    <n v="1497"/>
    <m/>
    <x v="152"/>
  </r>
  <r>
    <n v="117"/>
    <n v="1"/>
    <n v="5"/>
    <n v="2495"/>
    <n v="1245"/>
    <m/>
    <x v="152"/>
  </r>
  <r>
    <n v="21"/>
    <n v="18"/>
    <n v="1"/>
    <n v="799"/>
    <n v="349"/>
    <m/>
    <x v="152"/>
  </r>
  <r>
    <n v="59"/>
    <n v="4"/>
    <n v="4"/>
    <n v="4796"/>
    <n v="1996"/>
    <m/>
    <x v="152"/>
  </r>
  <r>
    <n v="40"/>
    <n v="19"/>
    <n v="2"/>
    <n v="2598"/>
    <n v="998"/>
    <m/>
    <x v="152"/>
  </r>
  <r>
    <n v="81"/>
    <n v="6"/>
    <n v="3"/>
    <n v="2097"/>
    <n v="1047"/>
    <m/>
    <x v="152"/>
  </r>
  <r>
    <n v="10"/>
    <n v="24"/>
    <n v="4"/>
    <n v="2796"/>
    <n v="1396"/>
    <m/>
    <x v="152"/>
  </r>
  <r>
    <n v="112"/>
    <n v="18"/>
    <n v="2"/>
    <n v="1598"/>
    <n v="698"/>
    <m/>
    <x v="152"/>
  </r>
  <r>
    <n v="195"/>
    <n v="3"/>
    <n v="2"/>
    <n v="1598"/>
    <n v="698"/>
    <m/>
    <x v="152"/>
  </r>
  <r>
    <n v="160"/>
    <n v="6"/>
    <n v="4"/>
    <n v="2796"/>
    <n v="1396"/>
    <m/>
    <x v="152"/>
  </r>
  <r>
    <n v="97"/>
    <n v="14"/>
    <n v="5"/>
    <n v="3495"/>
    <n v="1745"/>
    <m/>
    <x v="152"/>
  </r>
  <r>
    <n v="145"/>
    <n v="4"/>
    <n v="3"/>
    <n v="3597"/>
    <n v="1497"/>
    <m/>
    <x v="152"/>
  </r>
  <r>
    <n v="101"/>
    <n v="21"/>
    <n v="4"/>
    <n v="1196"/>
    <n v="596"/>
    <m/>
    <x v="152"/>
  </r>
  <r>
    <n v="2"/>
    <n v="23"/>
    <n v="3"/>
    <n v="1797"/>
    <n v="897"/>
    <m/>
    <x v="152"/>
  </r>
  <r>
    <n v="17"/>
    <n v="11"/>
    <n v="5"/>
    <n v="3995"/>
    <n v="1995"/>
    <m/>
    <x v="152"/>
  </r>
  <r>
    <n v="188"/>
    <n v="7"/>
    <n v="3"/>
    <n v="4497"/>
    <n v="1797"/>
    <m/>
    <x v="152"/>
  </r>
  <r>
    <n v="171"/>
    <n v="21"/>
    <n v="4"/>
    <n v="1196"/>
    <n v="596"/>
    <m/>
    <x v="152"/>
  </r>
  <r>
    <n v="1"/>
    <n v="25"/>
    <n v="3"/>
    <n v="2397"/>
    <n v="1197"/>
    <m/>
    <x v="152"/>
  </r>
  <r>
    <n v="21"/>
    <n v="11"/>
    <n v="4"/>
    <n v="3196"/>
    <n v="1596"/>
    <m/>
    <x v="152"/>
  </r>
  <r>
    <n v="119"/>
    <n v="8"/>
    <n v="4"/>
    <n v="2396"/>
    <n v="1196"/>
    <m/>
    <x v="152"/>
  </r>
  <r>
    <n v="107"/>
    <n v="22"/>
    <n v="3"/>
    <n v="1047"/>
    <n v="507"/>
    <m/>
    <x v="152"/>
  </r>
  <r>
    <n v="63"/>
    <n v="24"/>
    <n v="1"/>
    <n v="699"/>
    <n v="349"/>
    <m/>
    <x v="152"/>
  </r>
  <r>
    <n v="111"/>
    <n v="4"/>
    <n v="2"/>
    <n v="2398"/>
    <n v="998"/>
    <m/>
    <x v="152"/>
  </r>
  <r>
    <n v="62"/>
    <n v="5"/>
    <n v="3"/>
    <n v="1197"/>
    <n v="597"/>
    <m/>
    <x v="152"/>
  </r>
  <r>
    <n v="101"/>
    <n v="16"/>
    <n v="2"/>
    <n v="1198"/>
    <n v="598"/>
    <m/>
    <x v="152"/>
  </r>
  <r>
    <n v="124"/>
    <n v="6"/>
    <n v="4"/>
    <n v="2796"/>
    <n v="1396"/>
    <m/>
    <x v="152"/>
  </r>
  <r>
    <n v="195"/>
    <n v="11"/>
    <n v="5"/>
    <n v="3995"/>
    <n v="1995"/>
    <m/>
    <x v="152"/>
  </r>
  <r>
    <n v="46"/>
    <n v="24"/>
    <n v="4"/>
    <n v="2796"/>
    <n v="1396"/>
    <m/>
    <x v="152"/>
  </r>
  <r>
    <n v="37"/>
    <n v="15"/>
    <n v="1"/>
    <n v="1499"/>
    <n v="599"/>
    <m/>
    <x v="152"/>
  </r>
  <r>
    <n v="159"/>
    <n v="25"/>
    <n v="3"/>
    <n v="2397"/>
    <n v="1197"/>
    <m/>
    <x v="152"/>
  </r>
  <r>
    <n v="56"/>
    <n v="24"/>
    <n v="5"/>
    <n v="3495"/>
    <n v="1745"/>
    <m/>
    <x v="152"/>
  </r>
  <r>
    <n v="8"/>
    <n v="12"/>
    <n v="2"/>
    <n v="2398"/>
    <n v="998"/>
    <m/>
    <x v="152"/>
  </r>
  <r>
    <n v="161"/>
    <n v="13"/>
    <n v="5"/>
    <n v="2495"/>
    <n v="1245"/>
    <m/>
    <x v="152"/>
  </r>
  <r>
    <n v="92"/>
    <n v="22"/>
    <n v="4"/>
    <n v="1396"/>
    <n v="676"/>
    <m/>
    <x v="152"/>
  </r>
  <r>
    <n v="78"/>
    <n v="22"/>
    <n v="5"/>
    <n v="1745"/>
    <n v="845"/>
    <m/>
    <x v="152"/>
  </r>
  <r>
    <n v="192"/>
    <n v="19"/>
    <n v="4"/>
    <n v="5196"/>
    <n v="1996"/>
    <m/>
    <x v="152"/>
  </r>
  <r>
    <n v="143"/>
    <n v="11"/>
    <n v="5"/>
    <n v="3995"/>
    <n v="1995"/>
    <m/>
    <x v="152"/>
  </r>
  <r>
    <n v="149"/>
    <n v="17"/>
    <n v="2"/>
    <n v="798"/>
    <n v="398"/>
    <m/>
    <x v="152"/>
  </r>
  <r>
    <n v="90"/>
    <n v="14"/>
    <n v="3"/>
    <n v="2097"/>
    <n v="1047"/>
    <m/>
    <x v="152"/>
  </r>
  <r>
    <n v="87"/>
    <n v="10"/>
    <n v="1"/>
    <n v="1599"/>
    <n v="649"/>
    <m/>
    <x v="152"/>
  </r>
  <r>
    <n v="6"/>
    <n v="10"/>
    <n v="4"/>
    <n v="6396"/>
    <n v="2596"/>
    <m/>
    <x v="152"/>
  </r>
  <r>
    <n v="67"/>
    <n v="16"/>
    <n v="1"/>
    <n v="599"/>
    <n v="299"/>
    <m/>
    <x v="152"/>
  </r>
  <r>
    <n v="170"/>
    <n v="14"/>
    <n v="5"/>
    <n v="3495"/>
    <n v="1745"/>
    <m/>
    <x v="152"/>
  </r>
  <r>
    <n v="13"/>
    <n v="18"/>
    <n v="3"/>
    <n v="2397"/>
    <n v="1047"/>
    <m/>
    <x v="152"/>
  </r>
  <r>
    <n v="140"/>
    <n v="11"/>
    <n v="5"/>
    <n v="3995"/>
    <n v="1995"/>
    <m/>
    <x v="152"/>
  </r>
  <r>
    <n v="146"/>
    <n v="13"/>
    <n v="2"/>
    <n v="998"/>
    <n v="498"/>
    <m/>
    <x v="152"/>
  </r>
  <r>
    <n v="87"/>
    <n v="14"/>
    <n v="1"/>
    <n v="699"/>
    <n v="349"/>
    <m/>
    <x v="152"/>
  </r>
  <r>
    <n v="175"/>
    <n v="23"/>
    <n v="2"/>
    <n v="1198"/>
    <n v="598"/>
    <m/>
    <x v="152"/>
  </r>
  <r>
    <n v="23"/>
    <n v="5"/>
    <n v="5"/>
    <n v="1995"/>
    <n v="995"/>
    <m/>
    <x v="152"/>
  </r>
  <r>
    <n v="118"/>
    <n v="16"/>
    <n v="2"/>
    <n v="1198"/>
    <n v="598"/>
    <m/>
    <x v="152"/>
  </r>
  <r>
    <n v="96"/>
    <n v="19"/>
    <n v="3"/>
    <n v="3897"/>
    <n v="1497"/>
    <m/>
    <x v="152"/>
  </r>
  <r>
    <n v="147"/>
    <n v="22"/>
    <n v="3"/>
    <n v="1047"/>
    <n v="507"/>
    <m/>
    <x v="152"/>
  </r>
  <r>
    <n v="75"/>
    <n v="16"/>
    <n v="2"/>
    <n v="1198"/>
    <n v="598"/>
    <m/>
    <x v="152"/>
  </r>
  <r>
    <n v="169"/>
    <n v="24"/>
    <n v="3"/>
    <n v="2097"/>
    <n v="1047"/>
    <m/>
    <x v="152"/>
  </r>
  <r>
    <n v="189"/>
    <n v="2"/>
    <n v="1"/>
    <n v="999"/>
    <n v="399"/>
    <m/>
    <x v="152"/>
  </r>
  <r>
    <n v="60"/>
    <n v="17"/>
    <n v="2"/>
    <n v="798"/>
    <n v="398"/>
    <m/>
    <x v="152"/>
  </r>
  <r>
    <n v="102"/>
    <n v="24"/>
    <n v="4"/>
    <n v="2796"/>
    <n v="1396"/>
    <m/>
    <x v="152"/>
  </r>
  <r>
    <n v="171"/>
    <n v="7"/>
    <n v="3"/>
    <n v="4497"/>
    <n v="1797"/>
    <m/>
    <x v="152"/>
  </r>
  <r>
    <n v="157"/>
    <n v="2"/>
    <n v="2"/>
    <n v="1998"/>
    <n v="798"/>
    <m/>
    <x v="152"/>
  </r>
  <r>
    <n v="95"/>
    <n v="3"/>
    <n v="4"/>
    <n v="3196"/>
    <n v="1396"/>
    <m/>
    <x v="152"/>
  </r>
  <r>
    <n v="139"/>
    <n v="9"/>
    <n v="4"/>
    <n v="3596"/>
    <n v="1596"/>
    <m/>
    <x v="152"/>
  </r>
  <r>
    <n v="75"/>
    <n v="14"/>
    <n v="2"/>
    <n v="1398"/>
    <n v="698"/>
    <m/>
    <x v="152"/>
  </r>
  <r>
    <n v="180"/>
    <n v="4"/>
    <n v="5"/>
    <n v="5995"/>
    <n v="2495"/>
    <m/>
    <x v="152"/>
  </r>
  <r>
    <n v="57"/>
    <n v="15"/>
    <n v="1"/>
    <n v="1499"/>
    <n v="599"/>
    <m/>
    <x v="152"/>
  </r>
  <r>
    <n v="40"/>
    <n v="12"/>
    <n v="4"/>
    <n v="4796"/>
    <n v="1996"/>
    <m/>
    <x v="152"/>
  </r>
  <r>
    <n v="128"/>
    <n v="3"/>
    <n v="2"/>
    <n v="1598"/>
    <n v="698"/>
    <m/>
    <x v="152"/>
  </r>
  <r>
    <n v="53"/>
    <n v="14"/>
    <n v="2"/>
    <n v="1398"/>
    <n v="698"/>
    <m/>
    <x v="152"/>
  </r>
  <r>
    <n v="13"/>
    <n v="20"/>
    <n v="4"/>
    <n v="5596"/>
    <n v="2196"/>
    <m/>
    <x v="152"/>
  </r>
  <r>
    <n v="76"/>
    <n v="2"/>
    <n v="4"/>
    <n v="3996"/>
    <n v="1596"/>
    <m/>
    <x v="152"/>
  </r>
  <r>
    <n v="123"/>
    <n v="23"/>
    <n v="2"/>
    <n v="1198"/>
    <n v="598"/>
    <m/>
    <x v="152"/>
  </r>
  <r>
    <n v="200"/>
    <n v="4"/>
    <n v="2"/>
    <n v="2398"/>
    <n v="998"/>
    <m/>
    <x v="152"/>
  </r>
  <r>
    <n v="146"/>
    <n v="18"/>
    <n v="3"/>
    <n v="2397"/>
    <n v="1047"/>
    <m/>
    <x v="152"/>
  </r>
  <r>
    <n v="51"/>
    <n v="8"/>
    <n v="3"/>
    <n v="1797"/>
    <n v="897"/>
    <m/>
    <x v="152"/>
  </r>
  <r>
    <n v="78"/>
    <n v="19"/>
    <n v="5"/>
    <n v="6495"/>
    <n v="2495"/>
    <m/>
    <x v="152"/>
  </r>
  <r>
    <n v="174"/>
    <n v="2"/>
    <n v="3"/>
    <n v="2997"/>
    <n v="1197"/>
    <m/>
    <x v="152"/>
  </r>
  <r>
    <n v="27"/>
    <n v="10"/>
    <n v="2"/>
    <n v="3198"/>
    <n v="1298"/>
    <m/>
    <x v="152"/>
  </r>
  <r>
    <n v="22"/>
    <n v="20"/>
    <n v="4"/>
    <n v="5596"/>
    <n v="2196"/>
    <m/>
    <x v="152"/>
  </r>
  <r>
    <n v="114"/>
    <n v="8"/>
    <n v="1"/>
    <n v="599"/>
    <n v="299"/>
    <m/>
    <x v="152"/>
  </r>
  <r>
    <n v="15"/>
    <n v="12"/>
    <n v="1"/>
    <n v="1199"/>
    <n v="499"/>
    <m/>
    <x v="152"/>
  </r>
  <r>
    <n v="127"/>
    <n v="20"/>
    <n v="5"/>
    <n v="6995"/>
    <n v="2745"/>
    <m/>
    <x v="152"/>
  </r>
  <r>
    <n v="72"/>
    <n v="5"/>
    <n v="1"/>
    <n v="399"/>
    <n v="199"/>
    <m/>
    <x v="152"/>
  </r>
  <r>
    <n v="80"/>
    <n v="23"/>
    <n v="2"/>
    <n v="1198"/>
    <n v="598"/>
    <m/>
    <x v="152"/>
  </r>
  <r>
    <n v="115"/>
    <n v="21"/>
    <n v="2"/>
    <n v="598"/>
    <n v="298"/>
    <m/>
    <x v="152"/>
  </r>
  <r>
    <n v="122"/>
    <n v="24"/>
    <n v="4"/>
    <n v="2796"/>
    <n v="1396"/>
    <m/>
    <x v="152"/>
  </r>
  <r>
    <n v="184"/>
    <n v="4"/>
    <n v="2"/>
    <n v="2398"/>
    <n v="998"/>
    <m/>
    <x v="152"/>
  </r>
  <r>
    <n v="50"/>
    <n v="1"/>
    <n v="1"/>
    <n v="499"/>
    <n v="249"/>
    <m/>
    <x v="152"/>
  </r>
  <r>
    <n v="13"/>
    <n v="1"/>
    <n v="2"/>
    <n v="998"/>
    <n v="498"/>
    <m/>
    <x v="152"/>
  </r>
  <r>
    <n v="89"/>
    <n v="14"/>
    <n v="2"/>
    <n v="1398"/>
    <n v="698"/>
    <m/>
    <x v="152"/>
  </r>
  <r>
    <n v="28"/>
    <n v="6"/>
    <n v="3"/>
    <n v="2097"/>
    <n v="1047"/>
    <m/>
    <x v="152"/>
  </r>
  <r>
    <n v="43"/>
    <n v="18"/>
    <n v="2"/>
    <n v="1598"/>
    <n v="698"/>
    <m/>
    <x v="152"/>
  </r>
  <r>
    <n v="22"/>
    <n v="7"/>
    <n v="5"/>
    <n v="7495"/>
    <n v="2995"/>
    <m/>
    <x v="152"/>
  </r>
  <r>
    <n v="152"/>
    <n v="16"/>
    <n v="5"/>
    <n v="2995"/>
    <n v="1495"/>
    <m/>
    <x v="152"/>
  </r>
  <r>
    <n v="188"/>
    <n v="21"/>
    <n v="3"/>
    <n v="897"/>
    <n v="447"/>
    <m/>
    <x v="152"/>
  </r>
  <r>
    <n v="200"/>
    <n v="10"/>
    <n v="4"/>
    <n v="6396"/>
    <n v="2596"/>
    <m/>
    <x v="152"/>
  </r>
  <r>
    <n v="77"/>
    <n v="1"/>
    <n v="5"/>
    <n v="2495"/>
    <n v="1245"/>
    <m/>
    <x v="152"/>
  </r>
  <r>
    <n v="34"/>
    <n v="22"/>
    <n v="3"/>
    <n v="1047"/>
    <n v="507"/>
    <m/>
    <x v="152"/>
  </r>
  <r>
    <n v="49"/>
    <n v="18"/>
    <n v="2"/>
    <n v="1598"/>
    <n v="698"/>
    <m/>
    <x v="152"/>
  </r>
  <r>
    <n v="28"/>
    <n v="21"/>
    <n v="2"/>
    <n v="598"/>
    <n v="298"/>
    <m/>
    <x v="152"/>
  </r>
  <r>
    <n v="195"/>
    <n v="24"/>
    <n v="4"/>
    <n v="2796"/>
    <n v="1396"/>
    <m/>
    <x v="152"/>
  </r>
  <r>
    <n v="106"/>
    <n v="4"/>
    <n v="4"/>
    <n v="4796"/>
    <n v="1996"/>
    <m/>
    <x v="152"/>
  </r>
  <r>
    <n v="80"/>
    <n v="16"/>
    <n v="5"/>
    <n v="2995"/>
    <n v="1495"/>
    <m/>
    <x v="152"/>
  </r>
  <r>
    <n v="96"/>
    <n v="24"/>
    <n v="2"/>
    <n v="1398"/>
    <n v="698"/>
    <m/>
    <x v="152"/>
  </r>
  <r>
    <n v="83"/>
    <n v="20"/>
    <n v="1"/>
    <n v="1399"/>
    <n v="549"/>
    <m/>
    <x v="152"/>
  </r>
  <r>
    <n v="23"/>
    <n v="21"/>
    <n v="2"/>
    <n v="598"/>
    <n v="298"/>
    <m/>
    <x v="152"/>
  </r>
  <r>
    <n v="83"/>
    <n v="16"/>
    <n v="1"/>
    <n v="599"/>
    <n v="299"/>
    <m/>
    <x v="152"/>
  </r>
  <r>
    <n v="188"/>
    <n v="2"/>
    <n v="5"/>
    <n v="4995"/>
    <n v="1995"/>
    <m/>
    <x v="152"/>
  </r>
  <r>
    <n v="35"/>
    <n v="16"/>
    <n v="1"/>
    <n v="599"/>
    <n v="299"/>
    <m/>
    <x v="152"/>
  </r>
  <r>
    <n v="37"/>
    <n v="2"/>
    <n v="5"/>
    <n v="4995"/>
    <n v="1995"/>
    <m/>
    <x v="152"/>
  </r>
  <r>
    <n v="133"/>
    <n v="7"/>
    <n v="3"/>
    <n v="4497"/>
    <n v="1797"/>
    <m/>
    <x v="152"/>
  </r>
  <r>
    <n v="2"/>
    <n v="10"/>
    <n v="1"/>
    <n v="1599"/>
    <n v="649"/>
    <m/>
    <x v="152"/>
  </r>
  <r>
    <n v="144"/>
    <n v="14"/>
    <n v="1"/>
    <n v="699"/>
    <n v="349"/>
    <m/>
    <x v="152"/>
  </r>
  <r>
    <n v="95"/>
    <n v="1"/>
    <n v="4"/>
    <n v="1996"/>
    <n v="996"/>
    <m/>
    <x v="152"/>
  </r>
  <r>
    <n v="102"/>
    <n v="8"/>
    <n v="4"/>
    <n v="2396"/>
    <n v="1196"/>
    <m/>
    <x v="152"/>
  </r>
  <r>
    <n v="168"/>
    <n v="13"/>
    <n v="1"/>
    <n v="499"/>
    <n v="249"/>
    <m/>
    <x v="152"/>
  </r>
  <r>
    <n v="197"/>
    <n v="24"/>
    <n v="2"/>
    <n v="1398"/>
    <n v="698"/>
    <m/>
    <x v="152"/>
  </r>
  <r>
    <n v="139"/>
    <n v="20"/>
    <n v="4"/>
    <n v="5596"/>
    <n v="2196"/>
    <m/>
    <x v="152"/>
  </r>
  <r>
    <n v="75"/>
    <n v="23"/>
    <n v="1"/>
    <n v="599"/>
    <n v="299"/>
    <m/>
    <x v="152"/>
  </r>
  <r>
    <n v="127"/>
    <n v="20"/>
    <n v="1"/>
    <n v="1399"/>
    <n v="549"/>
    <m/>
    <x v="152"/>
  </r>
  <r>
    <n v="100"/>
    <n v="20"/>
    <n v="5"/>
    <n v="6995"/>
    <n v="2745"/>
    <m/>
    <x v="152"/>
  </r>
  <r>
    <n v="87"/>
    <n v="14"/>
    <n v="5"/>
    <n v="3495"/>
    <n v="1745"/>
    <m/>
    <x v="152"/>
  </r>
  <r>
    <n v="86"/>
    <n v="6"/>
    <n v="5"/>
    <n v="3495"/>
    <n v="1745"/>
    <m/>
    <x v="152"/>
  </r>
  <r>
    <n v="102"/>
    <n v="21"/>
    <n v="4"/>
    <n v="1196"/>
    <n v="596"/>
    <m/>
    <x v="152"/>
  </r>
  <r>
    <n v="80"/>
    <n v="9"/>
    <n v="5"/>
    <n v="4495"/>
    <n v="1995"/>
    <m/>
    <x v="152"/>
  </r>
  <r>
    <n v="2"/>
    <n v="18"/>
    <n v="2"/>
    <n v="1598"/>
    <n v="698"/>
    <m/>
    <x v="152"/>
  </r>
  <r>
    <n v="129"/>
    <n v="6"/>
    <n v="4"/>
    <n v="2796"/>
    <n v="1396"/>
    <m/>
    <x v="152"/>
  </r>
  <r>
    <n v="196"/>
    <n v="19"/>
    <n v="3"/>
    <n v="3897"/>
    <n v="1497"/>
    <m/>
    <x v="152"/>
  </r>
  <r>
    <n v="85"/>
    <n v="23"/>
    <n v="3"/>
    <n v="1797"/>
    <n v="897"/>
    <m/>
    <x v="152"/>
  </r>
  <r>
    <n v="98"/>
    <n v="16"/>
    <n v="2"/>
    <n v="1198"/>
    <n v="598"/>
    <m/>
    <x v="152"/>
  </r>
  <r>
    <n v="2"/>
    <n v="6"/>
    <n v="3"/>
    <n v="2097"/>
    <n v="1047"/>
    <m/>
    <x v="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04DFE-818D-4453-B8B3-28FB96761D5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16:J29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axis="axisRow" showAll="0">
      <items count="154">
        <item x="22"/>
        <item x="116"/>
        <item x="149"/>
        <item x="143"/>
        <item x="111"/>
        <item x="70"/>
        <item x="33"/>
        <item x="44"/>
        <item x="91"/>
        <item x="90"/>
        <item x="129"/>
        <item x="92"/>
        <item x="84"/>
        <item x="99"/>
        <item x="67"/>
        <item x="130"/>
        <item x="87"/>
        <item x="40"/>
        <item x="41"/>
        <item x="28"/>
        <item x="109"/>
        <item x="14"/>
        <item x="79"/>
        <item x="31"/>
        <item x="75"/>
        <item x="93"/>
        <item x="128"/>
        <item x="144"/>
        <item x="115"/>
        <item x="101"/>
        <item x="131"/>
        <item x="11"/>
        <item x="71"/>
        <item x="3"/>
        <item x="54"/>
        <item x="65"/>
        <item x="73"/>
        <item x="132"/>
        <item x="8"/>
        <item x="0"/>
        <item x="58"/>
        <item x="136"/>
        <item x="141"/>
        <item x="74"/>
        <item x="121"/>
        <item x="127"/>
        <item x="72"/>
        <item x="50"/>
        <item x="13"/>
        <item x="34"/>
        <item x="64"/>
        <item x="15"/>
        <item x="110"/>
        <item x="142"/>
        <item x="39"/>
        <item x="137"/>
        <item x="18"/>
        <item x="83"/>
        <item x="29"/>
        <item x="27"/>
        <item x="62"/>
        <item x="37"/>
        <item x="96"/>
        <item x="60"/>
        <item x="6"/>
        <item x="114"/>
        <item x="23"/>
        <item x="46"/>
        <item x="120"/>
        <item x="25"/>
        <item x="1"/>
        <item x="123"/>
        <item x="102"/>
        <item x="21"/>
        <item x="133"/>
        <item x="61"/>
        <item x="47"/>
        <item x="45"/>
        <item x="30"/>
        <item x="53"/>
        <item x="107"/>
        <item x="108"/>
        <item x="134"/>
        <item x="140"/>
        <item x="57"/>
        <item x="104"/>
        <item x="19"/>
        <item x="135"/>
        <item x="9"/>
        <item x="139"/>
        <item x="55"/>
        <item x="150"/>
        <item x="82"/>
        <item x="56"/>
        <item x="95"/>
        <item x="51"/>
        <item x="48"/>
        <item x="100"/>
        <item x="112"/>
        <item x="42"/>
        <item x="17"/>
        <item x="32"/>
        <item x="59"/>
        <item x="68"/>
        <item x="122"/>
        <item x="77"/>
        <item x="113"/>
        <item x="89"/>
        <item x="126"/>
        <item x="145"/>
        <item x="10"/>
        <item x="148"/>
        <item x="7"/>
        <item x="81"/>
        <item x="66"/>
        <item x="4"/>
        <item x="26"/>
        <item x="138"/>
        <item x="43"/>
        <item x="103"/>
        <item x="147"/>
        <item x="16"/>
        <item x="119"/>
        <item x="76"/>
        <item x="80"/>
        <item x="117"/>
        <item x="146"/>
        <item x="69"/>
        <item x="2"/>
        <item x="63"/>
        <item x="12"/>
        <item x="88"/>
        <item x="124"/>
        <item x="52"/>
        <item x="85"/>
        <item x="38"/>
        <item x="5"/>
        <item x="24"/>
        <item x="94"/>
        <item x="118"/>
        <item x="151"/>
        <item x="125"/>
        <item x="78"/>
        <item x="98"/>
        <item x="49"/>
        <item x="86"/>
        <item x="97"/>
        <item x="105"/>
        <item x="20"/>
        <item x="35"/>
        <item x="106"/>
        <item x="36"/>
        <item x="152"/>
        <item t="default"/>
      </items>
    </pivotField>
    <pivotField axis="axisRow" showAll="0">
      <items count="369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6ED2D-C13C-41F5-B536-408C8C4A1E4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:J5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>
      <items count="5">
        <item x="2"/>
        <item x="0"/>
        <item x="1"/>
        <item h="1"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96BE-F34D-4361-837A-2A9C7CB422C7}">
  <dimension ref="A1:C101"/>
  <sheetViews>
    <sheetView workbookViewId="0">
      <selection activeCell="B12" sqref="A1:C101"/>
    </sheetView>
  </sheetViews>
  <sheetFormatPr defaultRowHeight="14.5" x14ac:dyDescent="0.35"/>
  <cols>
    <col min="1" max="1" width="12.26953125" customWidth="1"/>
    <col min="3" max="3" width="10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tr">
        <f ca="1">IF(RANDBETWEEN(0,1)=0,"Male","Female")</f>
        <v>Male</v>
      </c>
      <c r="C2" t="str">
        <f ca="1">CHOOSE(RANDBETWEEN(1,4),"18-25","26-35","36-45","46+")</f>
        <v>26-35</v>
      </c>
    </row>
    <row r="3" spans="1:3" x14ac:dyDescent="0.35">
      <c r="A3">
        <v>2</v>
      </c>
      <c r="B3" t="str">
        <f t="shared" ref="B3:B66" ca="1" si="0">IF(RANDBETWEEN(0,1)=0,"Male","Female")</f>
        <v>Male</v>
      </c>
      <c r="C3" t="str">
        <f t="shared" ref="C3:C66" ca="1" si="1">CHOOSE(RANDBETWEEN(1,4),"18-25","26-35","36-45","46+")</f>
        <v>26-35</v>
      </c>
    </row>
    <row r="4" spans="1:3" x14ac:dyDescent="0.35">
      <c r="A4">
        <v>3</v>
      </c>
      <c r="B4" t="str">
        <f t="shared" ca="1" si="0"/>
        <v>Male</v>
      </c>
      <c r="C4" t="str">
        <f t="shared" ca="1" si="1"/>
        <v>36-45</v>
      </c>
    </row>
    <row r="5" spans="1:3" x14ac:dyDescent="0.35">
      <c r="A5">
        <v>4</v>
      </c>
      <c r="B5" t="str">
        <f t="shared" ca="1" si="0"/>
        <v>Female</v>
      </c>
      <c r="C5" t="str">
        <f t="shared" ca="1" si="1"/>
        <v>46+</v>
      </c>
    </row>
    <row r="6" spans="1:3" x14ac:dyDescent="0.35">
      <c r="A6">
        <v>5</v>
      </c>
      <c r="B6" t="str">
        <f t="shared" ca="1" si="0"/>
        <v>Female</v>
      </c>
      <c r="C6" t="str">
        <f t="shared" ca="1" si="1"/>
        <v>46+</v>
      </c>
    </row>
    <row r="7" spans="1:3" x14ac:dyDescent="0.35">
      <c r="A7">
        <v>6</v>
      </c>
      <c r="B7" t="str">
        <f t="shared" ca="1" si="0"/>
        <v>Female</v>
      </c>
      <c r="C7" t="str">
        <f t="shared" ca="1" si="1"/>
        <v>26-35</v>
      </c>
    </row>
    <row r="8" spans="1:3" x14ac:dyDescent="0.35">
      <c r="A8">
        <v>7</v>
      </c>
      <c r="B8" t="str">
        <f t="shared" ca="1" si="0"/>
        <v>Male</v>
      </c>
      <c r="C8" t="str">
        <f t="shared" ca="1" si="1"/>
        <v>18-25</v>
      </c>
    </row>
    <row r="9" spans="1:3" x14ac:dyDescent="0.35">
      <c r="A9">
        <v>8</v>
      </c>
      <c r="B9" t="str">
        <f t="shared" ca="1" si="0"/>
        <v>Male</v>
      </c>
      <c r="C9" t="str">
        <f t="shared" ca="1" si="1"/>
        <v>26-35</v>
      </c>
    </row>
    <row r="10" spans="1:3" x14ac:dyDescent="0.35">
      <c r="A10">
        <v>9</v>
      </c>
      <c r="B10" t="str">
        <f t="shared" ca="1" si="0"/>
        <v>Female</v>
      </c>
      <c r="C10" t="str">
        <f t="shared" ca="1" si="1"/>
        <v>26-35</v>
      </c>
    </row>
    <row r="11" spans="1:3" x14ac:dyDescent="0.35">
      <c r="A11">
        <v>10</v>
      </c>
      <c r="B11" t="str">
        <f t="shared" ca="1" si="0"/>
        <v>Male</v>
      </c>
      <c r="C11" t="str">
        <f t="shared" ca="1" si="1"/>
        <v>18-25</v>
      </c>
    </row>
    <row r="12" spans="1:3" x14ac:dyDescent="0.35">
      <c r="A12">
        <v>11</v>
      </c>
      <c r="B12" t="str">
        <f t="shared" ca="1" si="0"/>
        <v>Male</v>
      </c>
      <c r="C12" t="str">
        <f t="shared" ca="1" si="1"/>
        <v>26-35</v>
      </c>
    </row>
    <row r="13" spans="1:3" x14ac:dyDescent="0.35">
      <c r="A13">
        <v>12</v>
      </c>
      <c r="B13" t="str">
        <f t="shared" ca="1" si="0"/>
        <v>Female</v>
      </c>
      <c r="C13" t="str">
        <f t="shared" ca="1" si="1"/>
        <v>18-25</v>
      </c>
    </row>
    <row r="14" spans="1:3" x14ac:dyDescent="0.35">
      <c r="A14">
        <v>13</v>
      </c>
      <c r="B14" t="str">
        <f t="shared" ca="1" si="0"/>
        <v>Male</v>
      </c>
      <c r="C14" t="str">
        <f t="shared" ca="1" si="1"/>
        <v>46+</v>
      </c>
    </row>
    <row r="15" spans="1:3" x14ac:dyDescent="0.35">
      <c r="A15">
        <v>14</v>
      </c>
      <c r="B15" t="str">
        <f t="shared" ca="1" si="0"/>
        <v>Male</v>
      </c>
      <c r="C15" t="str">
        <f t="shared" ca="1" si="1"/>
        <v>46+</v>
      </c>
    </row>
    <row r="16" spans="1:3" x14ac:dyDescent="0.35">
      <c r="A16">
        <v>15</v>
      </c>
      <c r="B16" t="str">
        <f t="shared" ca="1" si="0"/>
        <v>Male</v>
      </c>
      <c r="C16" t="str">
        <f t="shared" ca="1" si="1"/>
        <v>46+</v>
      </c>
    </row>
    <row r="17" spans="1:3" x14ac:dyDescent="0.35">
      <c r="A17">
        <v>16</v>
      </c>
      <c r="B17" t="str">
        <f t="shared" ca="1" si="0"/>
        <v>Female</v>
      </c>
      <c r="C17" t="str">
        <f t="shared" ca="1" si="1"/>
        <v>46+</v>
      </c>
    </row>
    <row r="18" spans="1:3" x14ac:dyDescent="0.35">
      <c r="A18">
        <v>17</v>
      </c>
      <c r="B18" t="str">
        <f t="shared" ca="1" si="0"/>
        <v>Female</v>
      </c>
      <c r="C18" t="str">
        <f t="shared" ca="1" si="1"/>
        <v>26-35</v>
      </c>
    </row>
    <row r="19" spans="1:3" x14ac:dyDescent="0.35">
      <c r="A19">
        <v>18</v>
      </c>
      <c r="B19" t="str">
        <f t="shared" ca="1" si="0"/>
        <v>Female</v>
      </c>
      <c r="C19" t="str">
        <f t="shared" ca="1" si="1"/>
        <v>18-25</v>
      </c>
    </row>
    <row r="20" spans="1:3" x14ac:dyDescent="0.35">
      <c r="A20">
        <v>19</v>
      </c>
      <c r="B20" t="str">
        <f t="shared" ca="1" si="0"/>
        <v>Male</v>
      </c>
      <c r="C20" t="str">
        <f t="shared" ca="1" si="1"/>
        <v>18-25</v>
      </c>
    </row>
    <row r="21" spans="1:3" x14ac:dyDescent="0.35">
      <c r="A21">
        <v>20</v>
      </c>
      <c r="B21" t="str">
        <f t="shared" ca="1" si="0"/>
        <v>Male</v>
      </c>
      <c r="C21" t="str">
        <f t="shared" ca="1" si="1"/>
        <v>46+</v>
      </c>
    </row>
    <row r="22" spans="1:3" x14ac:dyDescent="0.35">
      <c r="A22">
        <v>21</v>
      </c>
      <c r="B22" t="str">
        <f t="shared" ca="1" si="0"/>
        <v>Male</v>
      </c>
      <c r="C22" t="str">
        <f t="shared" ca="1" si="1"/>
        <v>36-45</v>
      </c>
    </row>
    <row r="23" spans="1:3" x14ac:dyDescent="0.35">
      <c r="A23">
        <v>22</v>
      </c>
      <c r="B23" t="str">
        <f t="shared" ca="1" si="0"/>
        <v>Male</v>
      </c>
      <c r="C23" t="str">
        <f t="shared" ca="1" si="1"/>
        <v>18-25</v>
      </c>
    </row>
    <row r="24" spans="1:3" x14ac:dyDescent="0.35">
      <c r="A24">
        <v>23</v>
      </c>
      <c r="B24" t="str">
        <f t="shared" ca="1" si="0"/>
        <v>Male</v>
      </c>
      <c r="C24" t="str">
        <f t="shared" ca="1" si="1"/>
        <v>18-25</v>
      </c>
    </row>
    <row r="25" spans="1:3" x14ac:dyDescent="0.35">
      <c r="A25">
        <v>24</v>
      </c>
      <c r="B25" t="str">
        <f t="shared" ca="1" si="0"/>
        <v>Female</v>
      </c>
      <c r="C25" t="str">
        <f t="shared" ca="1" si="1"/>
        <v>46+</v>
      </c>
    </row>
    <row r="26" spans="1:3" x14ac:dyDescent="0.35">
      <c r="A26">
        <v>25</v>
      </c>
      <c r="B26" t="str">
        <f t="shared" ca="1" si="0"/>
        <v>Female</v>
      </c>
      <c r="C26" t="str">
        <f t="shared" ca="1" si="1"/>
        <v>26-35</v>
      </c>
    </row>
    <row r="27" spans="1:3" x14ac:dyDescent="0.35">
      <c r="A27">
        <v>26</v>
      </c>
      <c r="B27" t="str">
        <f t="shared" ca="1" si="0"/>
        <v>Male</v>
      </c>
      <c r="C27" t="str">
        <f t="shared" ca="1" si="1"/>
        <v>36-45</v>
      </c>
    </row>
    <row r="28" spans="1:3" x14ac:dyDescent="0.35">
      <c r="A28">
        <v>27</v>
      </c>
      <c r="B28" t="str">
        <f t="shared" ca="1" si="0"/>
        <v>Male</v>
      </c>
      <c r="C28" t="str">
        <f t="shared" ca="1" si="1"/>
        <v>36-45</v>
      </c>
    </row>
    <row r="29" spans="1:3" x14ac:dyDescent="0.35">
      <c r="A29">
        <v>28</v>
      </c>
      <c r="B29" t="str">
        <f t="shared" ca="1" si="0"/>
        <v>Male</v>
      </c>
      <c r="C29" t="str">
        <f t="shared" ca="1" si="1"/>
        <v>18-25</v>
      </c>
    </row>
    <row r="30" spans="1:3" x14ac:dyDescent="0.35">
      <c r="A30">
        <v>29</v>
      </c>
      <c r="B30" t="str">
        <f t="shared" ca="1" si="0"/>
        <v>Female</v>
      </c>
      <c r="C30" t="str">
        <f t="shared" ca="1" si="1"/>
        <v>36-45</v>
      </c>
    </row>
    <row r="31" spans="1:3" x14ac:dyDescent="0.35">
      <c r="A31">
        <v>30</v>
      </c>
      <c r="B31" t="str">
        <f t="shared" ca="1" si="0"/>
        <v>Female</v>
      </c>
      <c r="C31" t="str">
        <f t="shared" ca="1" si="1"/>
        <v>36-45</v>
      </c>
    </row>
    <row r="32" spans="1:3" x14ac:dyDescent="0.35">
      <c r="A32">
        <v>31</v>
      </c>
      <c r="B32" t="str">
        <f t="shared" ca="1" si="0"/>
        <v>Male</v>
      </c>
      <c r="C32" t="str">
        <f t="shared" ca="1" si="1"/>
        <v>46+</v>
      </c>
    </row>
    <row r="33" spans="1:3" x14ac:dyDescent="0.35">
      <c r="A33">
        <v>32</v>
      </c>
      <c r="B33" t="str">
        <f t="shared" ca="1" si="0"/>
        <v>Male</v>
      </c>
      <c r="C33" t="str">
        <f t="shared" ca="1" si="1"/>
        <v>46+</v>
      </c>
    </row>
    <row r="34" spans="1:3" x14ac:dyDescent="0.35">
      <c r="A34">
        <v>33</v>
      </c>
      <c r="B34" t="str">
        <f t="shared" ca="1" si="0"/>
        <v>Male</v>
      </c>
      <c r="C34" t="str">
        <f t="shared" ca="1" si="1"/>
        <v>26-35</v>
      </c>
    </row>
    <row r="35" spans="1:3" x14ac:dyDescent="0.35">
      <c r="A35">
        <v>34</v>
      </c>
      <c r="B35" t="str">
        <f t="shared" ca="1" si="0"/>
        <v>Female</v>
      </c>
      <c r="C35" t="str">
        <f t="shared" ca="1" si="1"/>
        <v>26-35</v>
      </c>
    </row>
    <row r="36" spans="1:3" x14ac:dyDescent="0.35">
      <c r="A36">
        <v>35</v>
      </c>
      <c r="B36" t="str">
        <f t="shared" ca="1" si="0"/>
        <v>Male</v>
      </c>
      <c r="C36" t="str">
        <f t="shared" ca="1" si="1"/>
        <v>36-45</v>
      </c>
    </row>
    <row r="37" spans="1:3" x14ac:dyDescent="0.35">
      <c r="A37">
        <v>36</v>
      </c>
      <c r="B37" t="str">
        <f t="shared" ca="1" si="0"/>
        <v>Male</v>
      </c>
      <c r="C37" t="str">
        <f t="shared" ca="1" si="1"/>
        <v>36-45</v>
      </c>
    </row>
    <row r="38" spans="1:3" x14ac:dyDescent="0.35">
      <c r="A38">
        <v>37</v>
      </c>
      <c r="B38" t="str">
        <f t="shared" ca="1" si="0"/>
        <v>Female</v>
      </c>
      <c r="C38" t="str">
        <f t="shared" ca="1" si="1"/>
        <v>26-35</v>
      </c>
    </row>
    <row r="39" spans="1:3" x14ac:dyDescent="0.35">
      <c r="A39">
        <v>38</v>
      </c>
      <c r="B39" t="str">
        <f t="shared" ca="1" si="0"/>
        <v>Male</v>
      </c>
      <c r="C39" t="str">
        <f t="shared" ca="1" si="1"/>
        <v>18-25</v>
      </c>
    </row>
    <row r="40" spans="1:3" x14ac:dyDescent="0.35">
      <c r="A40">
        <v>39</v>
      </c>
      <c r="B40" t="str">
        <f t="shared" ca="1" si="0"/>
        <v>Female</v>
      </c>
      <c r="C40" t="str">
        <f t="shared" ca="1" si="1"/>
        <v>18-25</v>
      </c>
    </row>
    <row r="41" spans="1:3" x14ac:dyDescent="0.35">
      <c r="A41">
        <v>40</v>
      </c>
      <c r="B41" t="str">
        <f t="shared" ca="1" si="0"/>
        <v>Male</v>
      </c>
      <c r="C41" t="str">
        <f t="shared" ca="1" si="1"/>
        <v>18-25</v>
      </c>
    </row>
    <row r="42" spans="1:3" x14ac:dyDescent="0.35">
      <c r="A42">
        <v>41</v>
      </c>
      <c r="B42" t="str">
        <f t="shared" ca="1" si="0"/>
        <v>Female</v>
      </c>
      <c r="C42" t="str">
        <f t="shared" ca="1" si="1"/>
        <v>26-35</v>
      </c>
    </row>
    <row r="43" spans="1:3" x14ac:dyDescent="0.35">
      <c r="A43">
        <v>42</v>
      </c>
      <c r="B43" t="str">
        <f t="shared" ca="1" si="0"/>
        <v>Female</v>
      </c>
      <c r="C43" t="str">
        <f t="shared" ca="1" si="1"/>
        <v>26-35</v>
      </c>
    </row>
    <row r="44" spans="1:3" x14ac:dyDescent="0.35">
      <c r="A44">
        <v>43</v>
      </c>
      <c r="B44" t="str">
        <f t="shared" ca="1" si="0"/>
        <v>Female</v>
      </c>
      <c r="C44" t="str">
        <f t="shared" ca="1" si="1"/>
        <v>18-25</v>
      </c>
    </row>
    <row r="45" spans="1:3" x14ac:dyDescent="0.35">
      <c r="A45">
        <v>44</v>
      </c>
      <c r="B45" t="str">
        <f t="shared" ca="1" si="0"/>
        <v>Male</v>
      </c>
      <c r="C45" t="str">
        <f t="shared" ca="1" si="1"/>
        <v>46+</v>
      </c>
    </row>
    <row r="46" spans="1:3" x14ac:dyDescent="0.35">
      <c r="A46">
        <v>45</v>
      </c>
      <c r="B46" t="str">
        <f t="shared" ca="1" si="0"/>
        <v>Female</v>
      </c>
      <c r="C46" t="str">
        <f t="shared" ca="1" si="1"/>
        <v>18-25</v>
      </c>
    </row>
    <row r="47" spans="1:3" x14ac:dyDescent="0.35">
      <c r="A47">
        <v>46</v>
      </c>
      <c r="B47" t="str">
        <f t="shared" ca="1" si="0"/>
        <v>Female</v>
      </c>
      <c r="C47" t="str">
        <f t="shared" ca="1" si="1"/>
        <v>36-45</v>
      </c>
    </row>
    <row r="48" spans="1:3" x14ac:dyDescent="0.35">
      <c r="A48">
        <v>47</v>
      </c>
      <c r="B48" t="str">
        <f t="shared" ca="1" si="0"/>
        <v>Male</v>
      </c>
      <c r="C48" t="str">
        <f t="shared" ca="1" si="1"/>
        <v>36-45</v>
      </c>
    </row>
    <row r="49" spans="1:3" x14ac:dyDescent="0.35">
      <c r="A49">
        <v>48</v>
      </c>
      <c r="B49" t="str">
        <f t="shared" ca="1" si="0"/>
        <v>Male</v>
      </c>
      <c r="C49" t="str">
        <f t="shared" ca="1" si="1"/>
        <v>26-35</v>
      </c>
    </row>
    <row r="50" spans="1:3" x14ac:dyDescent="0.35">
      <c r="A50">
        <v>49</v>
      </c>
      <c r="B50" t="str">
        <f t="shared" ca="1" si="0"/>
        <v>Male</v>
      </c>
      <c r="C50" t="str">
        <f t="shared" ca="1" si="1"/>
        <v>18-25</v>
      </c>
    </row>
    <row r="51" spans="1:3" x14ac:dyDescent="0.35">
      <c r="A51">
        <v>50</v>
      </c>
      <c r="B51" t="str">
        <f t="shared" ca="1" si="0"/>
        <v>Male</v>
      </c>
      <c r="C51" t="str">
        <f t="shared" ca="1" si="1"/>
        <v>18-25</v>
      </c>
    </row>
    <row r="52" spans="1:3" x14ac:dyDescent="0.35">
      <c r="A52">
        <v>51</v>
      </c>
      <c r="B52" t="str">
        <f t="shared" ca="1" si="0"/>
        <v>Male</v>
      </c>
      <c r="C52" t="str">
        <f t="shared" ca="1" si="1"/>
        <v>26-35</v>
      </c>
    </row>
    <row r="53" spans="1:3" x14ac:dyDescent="0.35">
      <c r="A53">
        <v>52</v>
      </c>
      <c r="B53" t="str">
        <f t="shared" ca="1" si="0"/>
        <v>Female</v>
      </c>
      <c r="C53" t="str">
        <f t="shared" ca="1" si="1"/>
        <v>36-45</v>
      </c>
    </row>
    <row r="54" spans="1:3" x14ac:dyDescent="0.35">
      <c r="A54">
        <v>53</v>
      </c>
      <c r="B54" t="str">
        <f t="shared" ca="1" si="0"/>
        <v>Female</v>
      </c>
      <c r="C54" t="str">
        <f t="shared" ca="1" si="1"/>
        <v>18-25</v>
      </c>
    </row>
    <row r="55" spans="1:3" x14ac:dyDescent="0.35">
      <c r="A55">
        <v>54</v>
      </c>
      <c r="B55" t="str">
        <f t="shared" ca="1" si="0"/>
        <v>Female</v>
      </c>
      <c r="C55" t="str">
        <f t="shared" ca="1" si="1"/>
        <v>26-35</v>
      </c>
    </row>
    <row r="56" spans="1:3" x14ac:dyDescent="0.35">
      <c r="A56">
        <v>55</v>
      </c>
      <c r="B56" t="str">
        <f t="shared" ca="1" si="0"/>
        <v>Female</v>
      </c>
      <c r="C56" t="str">
        <f t="shared" ca="1" si="1"/>
        <v>26-35</v>
      </c>
    </row>
    <row r="57" spans="1:3" x14ac:dyDescent="0.35">
      <c r="A57">
        <v>56</v>
      </c>
      <c r="B57" t="str">
        <f t="shared" ca="1" si="0"/>
        <v>Male</v>
      </c>
      <c r="C57" t="str">
        <f t="shared" ca="1" si="1"/>
        <v>18-25</v>
      </c>
    </row>
    <row r="58" spans="1:3" x14ac:dyDescent="0.35">
      <c r="A58">
        <v>57</v>
      </c>
      <c r="B58" t="str">
        <f t="shared" ca="1" si="0"/>
        <v>Female</v>
      </c>
      <c r="C58" t="str">
        <f t="shared" ca="1" si="1"/>
        <v>18-25</v>
      </c>
    </row>
    <row r="59" spans="1:3" x14ac:dyDescent="0.35">
      <c r="A59">
        <v>58</v>
      </c>
      <c r="B59" t="str">
        <f t="shared" ca="1" si="0"/>
        <v>Female</v>
      </c>
      <c r="C59" t="str">
        <f t="shared" ca="1" si="1"/>
        <v>36-45</v>
      </c>
    </row>
    <row r="60" spans="1:3" x14ac:dyDescent="0.35">
      <c r="A60">
        <v>59</v>
      </c>
      <c r="B60" t="str">
        <f t="shared" ca="1" si="0"/>
        <v>Male</v>
      </c>
      <c r="C60" t="str">
        <f t="shared" ca="1" si="1"/>
        <v>46+</v>
      </c>
    </row>
    <row r="61" spans="1:3" x14ac:dyDescent="0.35">
      <c r="A61">
        <v>60</v>
      </c>
      <c r="B61" t="str">
        <f t="shared" ca="1" si="0"/>
        <v>Female</v>
      </c>
      <c r="C61" t="str">
        <f t="shared" ca="1" si="1"/>
        <v>18-25</v>
      </c>
    </row>
    <row r="62" spans="1:3" x14ac:dyDescent="0.35">
      <c r="A62">
        <v>61</v>
      </c>
      <c r="B62" t="str">
        <f t="shared" ca="1" si="0"/>
        <v>Male</v>
      </c>
      <c r="C62" t="str">
        <f t="shared" ca="1" si="1"/>
        <v>46+</v>
      </c>
    </row>
    <row r="63" spans="1:3" x14ac:dyDescent="0.35">
      <c r="A63">
        <v>62</v>
      </c>
      <c r="B63" t="str">
        <f t="shared" ca="1" si="0"/>
        <v>Female</v>
      </c>
      <c r="C63" t="str">
        <f t="shared" ca="1" si="1"/>
        <v>26-35</v>
      </c>
    </row>
    <row r="64" spans="1:3" x14ac:dyDescent="0.35">
      <c r="A64">
        <v>63</v>
      </c>
      <c r="B64" t="str">
        <f t="shared" ca="1" si="0"/>
        <v>Male</v>
      </c>
      <c r="C64" t="str">
        <f t="shared" ca="1" si="1"/>
        <v>18-25</v>
      </c>
    </row>
    <row r="65" spans="1:3" x14ac:dyDescent="0.35">
      <c r="A65">
        <v>64</v>
      </c>
      <c r="B65" t="str">
        <f t="shared" ca="1" si="0"/>
        <v>Female</v>
      </c>
      <c r="C65" t="str">
        <f t="shared" ca="1" si="1"/>
        <v>26-35</v>
      </c>
    </row>
    <row r="66" spans="1:3" x14ac:dyDescent="0.35">
      <c r="A66">
        <v>65</v>
      </c>
      <c r="B66" t="str">
        <f t="shared" ca="1" si="0"/>
        <v>Male</v>
      </c>
      <c r="C66" t="str">
        <f t="shared" ca="1" si="1"/>
        <v>36-45</v>
      </c>
    </row>
    <row r="67" spans="1:3" x14ac:dyDescent="0.35">
      <c r="A67">
        <v>66</v>
      </c>
      <c r="B67" t="str">
        <f t="shared" ref="B67:B101" ca="1" si="2">IF(RANDBETWEEN(0,1)=0,"Male","Female")</f>
        <v>Male</v>
      </c>
      <c r="C67" t="str">
        <f t="shared" ref="C67:C101" ca="1" si="3">CHOOSE(RANDBETWEEN(1,4),"18-25","26-35","36-45","46+")</f>
        <v>26-35</v>
      </c>
    </row>
    <row r="68" spans="1:3" x14ac:dyDescent="0.35">
      <c r="A68">
        <v>67</v>
      </c>
      <c r="B68" t="str">
        <f t="shared" ca="1" si="2"/>
        <v>Male</v>
      </c>
      <c r="C68" t="str">
        <f t="shared" ca="1" si="3"/>
        <v>26-35</v>
      </c>
    </row>
    <row r="69" spans="1:3" x14ac:dyDescent="0.35">
      <c r="A69">
        <v>68</v>
      </c>
      <c r="B69" t="str">
        <f t="shared" ca="1" si="2"/>
        <v>Female</v>
      </c>
      <c r="C69" t="str">
        <f t="shared" ca="1" si="3"/>
        <v>46+</v>
      </c>
    </row>
    <row r="70" spans="1:3" x14ac:dyDescent="0.35">
      <c r="A70">
        <v>69</v>
      </c>
      <c r="B70" t="str">
        <f t="shared" ca="1" si="2"/>
        <v>Male</v>
      </c>
      <c r="C70" t="str">
        <f t="shared" ca="1" si="3"/>
        <v>18-25</v>
      </c>
    </row>
    <row r="71" spans="1:3" x14ac:dyDescent="0.35">
      <c r="A71">
        <v>70</v>
      </c>
      <c r="B71" t="str">
        <f t="shared" ca="1" si="2"/>
        <v>Male</v>
      </c>
      <c r="C71" t="str">
        <f t="shared" ca="1" si="3"/>
        <v>26-35</v>
      </c>
    </row>
    <row r="72" spans="1:3" x14ac:dyDescent="0.35">
      <c r="A72">
        <v>71</v>
      </c>
      <c r="B72" t="str">
        <f t="shared" ca="1" si="2"/>
        <v>Female</v>
      </c>
      <c r="C72" t="str">
        <f t="shared" ca="1" si="3"/>
        <v>26-35</v>
      </c>
    </row>
    <row r="73" spans="1:3" x14ac:dyDescent="0.35">
      <c r="A73">
        <v>72</v>
      </c>
      <c r="B73" t="str">
        <f t="shared" ca="1" si="2"/>
        <v>Male</v>
      </c>
      <c r="C73" t="str">
        <f t="shared" ca="1" si="3"/>
        <v>26-35</v>
      </c>
    </row>
    <row r="74" spans="1:3" x14ac:dyDescent="0.35">
      <c r="A74">
        <v>73</v>
      </c>
      <c r="B74" t="str">
        <f t="shared" ca="1" si="2"/>
        <v>Male</v>
      </c>
      <c r="C74" t="str">
        <f t="shared" ca="1" si="3"/>
        <v>46+</v>
      </c>
    </row>
    <row r="75" spans="1:3" x14ac:dyDescent="0.35">
      <c r="A75">
        <v>74</v>
      </c>
      <c r="B75" t="str">
        <f t="shared" ca="1" si="2"/>
        <v>Female</v>
      </c>
      <c r="C75" t="str">
        <f t="shared" ca="1" si="3"/>
        <v>46+</v>
      </c>
    </row>
    <row r="76" spans="1:3" x14ac:dyDescent="0.35">
      <c r="A76">
        <v>75</v>
      </c>
      <c r="B76" t="str">
        <f t="shared" ca="1" si="2"/>
        <v>Female</v>
      </c>
      <c r="C76" t="str">
        <f t="shared" ca="1" si="3"/>
        <v>18-25</v>
      </c>
    </row>
    <row r="77" spans="1:3" x14ac:dyDescent="0.35">
      <c r="A77">
        <v>76</v>
      </c>
      <c r="B77" t="str">
        <f t="shared" ca="1" si="2"/>
        <v>Male</v>
      </c>
      <c r="C77" t="str">
        <f t="shared" ca="1" si="3"/>
        <v>18-25</v>
      </c>
    </row>
    <row r="78" spans="1:3" x14ac:dyDescent="0.35">
      <c r="A78">
        <v>77</v>
      </c>
      <c r="B78" t="str">
        <f t="shared" ca="1" si="2"/>
        <v>Male</v>
      </c>
      <c r="C78" t="str">
        <f t="shared" ca="1" si="3"/>
        <v>36-45</v>
      </c>
    </row>
    <row r="79" spans="1:3" x14ac:dyDescent="0.35">
      <c r="A79">
        <v>78</v>
      </c>
      <c r="B79" t="str">
        <f t="shared" ca="1" si="2"/>
        <v>Female</v>
      </c>
      <c r="C79" t="str">
        <f t="shared" ca="1" si="3"/>
        <v>18-25</v>
      </c>
    </row>
    <row r="80" spans="1:3" x14ac:dyDescent="0.35">
      <c r="A80">
        <v>79</v>
      </c>
      <c r="B80" t="str">
        <f t="shared" ca="1" si="2"/>
        <v>Male</v>
      </c>
      <c r="C80" t="str">
        <f t="shared" ca="1" si="3"/>
        <v>46+</v>
      </c>
    </row>
    <row r="81" spans="1:3" x14ac:dyDescent="0.35">
      <c r="A81">
        <v>80</v>
      </c>
      <c r="B81" t="str">
        <f t="shared" ca="1" si="2"/>
        <v>Female</v>
      </c>
      <c r="C81" t="str">
        <f t="shared" ca="1" si="3"/>
        <v>26-35</v>
      </c>
    </row>
    <row r="82" spans="1:3" x14ac:dyDescent="0.35">
      <c r="A82">
        <v>81</v>
      </c>
      <c r="B82" t="str">
        <f t="shared" ca="1" si="2"/>
        <v>Female</v>
      </c>
      <c r="C82" t="str">
        <f t="shared" ca="1" si="3"/>
        <v>36-45</v>
      </c>
    </row>
    <row r="83" spans="1:3" x14ac:dyDescent="0.35">
      <c r="A83">
        <v>82</v>
      </c>
      <c r="B83" t="str">
        <f t="shared" ca="1" si="2"/>
        <v>Male</v>
      </c>
      <c r="C83" t="str">
        <f t="shared" ca="1" si="3"/>
        <v>36-45</v>
      </c>
    </row>
    <row r="84" spans="1:3" x14ac:dyDescent="0.35">
      <c r="A84">
        <v>83</v>
      </c>
      <c r="B84" t="str">
        <f t="shared" ca="1" si="2"/>
        <v>Female</v>
      </c>
      <c r="C84" t="str">
        <f t="shared" ca="1" si="3"/>
        <v>36-45</v>
      </c>
    </row>
    <row r="85" spans="1:3" x14ac:dyDescent="0.35">
      <c r="A85">
        <v>84</v>
      </c>
      <c r="B85" t="str">
        <f t="shared" ca="1" si="2"/>
        <v>Female</v>
      </c>
      <c r="C85" t="str">
        <f t="shared" ca="1" si="3"/>
        <v>26-35</v>
      </c>
    </row>
    <row r="86" spans="1:3" x14ac:dyDescent="0.35">
      <c r="A86">
        <v>85</v>
      </c>
      <c r="B86" t="str">
        <f t="shared" ca="1" si="2"/>
        <v>Male</v>
      </c>
      <c r="C86" t="str">
        <f t="shared" ca="1" si="3"/>
        <v>26-35</v>
      </c>
    </row>
    <row r="87" spans="1:3" x14ac:dyDescent="0.35">
      <c r="A87">
        <v>86</v>
      </c>
      <c r="B87" t="str">
        <f t="shared" ca="1" si="2"/>
        <v>Female</v>
      </c>
      <c r="C87" t="str">
        <f t="shared" ca="1" si="3"/>
        <v>36-45</v>
      </c>
    </row>
    <row r="88" spans="1:3" x14ac:dyDescent="0.35">
      <c r="A88">
        <v>87</v>
      </c>
      <c r="B88" t="str">
        <f t="shared" ca="1" si="2"/>
        <v>Female</v>
      </c>
      <c r="C88" t="str">
        <f t="shared" ca="1" si="3"/>
        <v>36-45</v>
      </c>
    </row>
    <row r="89" spans="1:3" x14ac:dyDescent="0.35">
      <c r="A89">
        <v>88</v>
      </c>
      <c r="B89" t="str">
        <f t="shared" ca="1" si="2"/>
        <v>Male</v>
      </c>
      <c r="C89" t="str">
        <f t="shared" ca="1" si="3"/>
        <v>18-25</v>
      </c>
    </row>
    <row r="90" spans="1:3" x14ac:dyDescent="0.35">
      <c r="A90">
        <v>89</v>
      </c>
      <c r="B90" t="str">
        <f t="shared" ca="1" si="2"/>
        <v>Female</v>
      </c>
      <c r="C90" t="str">
        <f t="shared" ca="1" si="3"/>
        <v>36-45</v>
      </c>
    </row>
    <row r="91" spans="1:3" x14ac:dyDescent="0.35">
      <c r="A91">
        <v>90</v>
      </c>
      <c r="B91" t="str">
        <f t="shared" ca="1" si="2"/>
        <v>Male</v>
      </c>
      <c r="C91" t="str">
        <f t="shared" ca="1" si="3"/>
        <v>36-45</v>
      </c>
    </row>
    <row r="92" spans="1:3" x14ac:dyDescent="0.35">
      <c r="A92">
        <v>91</v>
      </c>
      <c r="B92" t="str">
        <f t="shared" ca="1" si="2"/>
        <v>Female</v>
      </c>
      <c r="C92" t="str">
        <f t="shared" ca="1" si="3"/>
        <v>36-45</v>
      </c>
    </row>
    <row r="93" spans="1:3" x14ac:dyDescent="0.35">
      <c r="A93">
        <v>92</v>
      </c>
      <c r="B93" t="str">
        <f t="shared" ca="1" si="2"/>
        <v>Male</v>
      </c>
      <c r="C93" t="str">
        <f t="shared" ca="1" si="3"/>
        <v>46+</v>
      </c>
    </row>
    <row r="94" spans="1:3" x14ac:dyDescent="0.35">
      <c r="A94">
        <v>93</v>
      </c>
      <c r="B94" t="str">
        <f t="shared" ca="1" si="2"/>
        <v>Male</v>
      </c>
      <c r="C94" t="str">
        <f t="shared" ca="1" si="3"/>
        <v>46+</v>
      </c>
    </row>
    <row r="95" spans="1:3" x14ac:dyDescent="0.35">
      <c r="A95">
        <v>94</v>
      </c>
      <c r="B95" t="str">
        <f t="shared" ca="1" si="2"/>
        <v>Male</v>
      </c>
      <c r="C95" t="str">
        <f t="shared" ca="1" si="3"/>
        <v>18-25</v>
      </c>
    </row>
    <row r="96" spans="1:3" x14ac:dyDescent="0.35">
      <c r="A96">
        <v>95</v>
      </c>
      <c r="B96" t="str">
        <f t="shared" ca="1" si="2"/>
        <v>Male</v>
      </c>
      <c r="C96" t="str">
        <f t="shared" ca="1" si="3"/>
        <v>26-35</v>
      </c>
    </row>
    <row r="97" spans="1:3" x14ac:dyDescent="0.35">
      <c r="A97">
        <v>96</v>
      </c>
      <c r="B97" t="str">
        <f t="shared" ca="1" si="2"/>
        <v>Female</v>
      </c>
      <c r="C97" t="str">
        <f t="shared" ca="1" si="3"/>
        <v>18-25</v>
      </c>
    </row>
    <row r="98" spans="1:3" x14ac:dyDescent="0.35">
      <c r="A98">
        <v>97</v>
      </c>
      <c r="B98" t="str">
        <f t="shared" ca="1" si="2"/>
        <v>Male</v>
      </c>
      <c r="C98" t="str">
        <f t="shared" ca="1" si="3"/>
        <v>18-25</v>
      </c>
    </row>
    <row r="99" spans="1:3" x14ac:dyDescent="0.35">
      <c r="A99">
        <v>98</v>
      </c>
      <c r="B99" t="str">
        <f t="shared" ca="1" si="2"/>
        <v>Male</v>
      </c>
      <c r="C99" t="str">
        <f t="shared" ca="1" si="3"/>
        <v>36-45</v>
      </c>
    </row>
    <row r="100" spans="1:3" x14ac:dyDescent="0.35">
      <c r="A100">
        <v>99</v>
      </c>
      <c r="B100" t="str">
        <f t="shared" ca="1" si="2"/>
        <v>Female</v>
      </c>
      <c r="C100" t="str">
        <f t="shared" ca="1" si="3"/>
        <v>36-45</v>
      </c>
    </row>
    <row r="101" spans="1:3" x14ac:dyDescent="0.35">
      <c r="A101">
        <v>100</v>
      </c>
      <c r="B101" t="str">
        <f t="shared" ca="1" si="2"/>
        <v>Male</v>
      </c>
      <c r="C101" t="str">
        <f t="shared" ca="1" si="3"/>
        <v>36-45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3437-C6CA-40D9-8992-1F419E329992}">
  <dimension ref="A1:D201"/>
  <sheetViews>
    <sheetView workbookViewId="0">
      <selection activeCell="D1" sqref="D1:D1048576"/>
    </sheetView>
  </sheetViews>
  <sheetFormatPr defaultRowHeight="14.5" x14ac:dyDescent="0.35"/>
  <cols>
    <col min="2" max="2" width="12" customWidth="1"/>
    <col min="4" max="4" width="11.7265625" customWidth="1"/>
  </cols>
  <sheetData>
    <row r="1" spans="1:4" x14ac:dyDescent="0.35">
      <c r="A1" t="s">
        <v>7</v>
      </c>
      <c r="B1" t="s">
        <v>0</v>
      </c>
      <c r="C1" t="s">
        <v>8</v>
      </c>
      <c r="D1" t="s">
        <v>9</v>
      </c>
    </row>
    <row r="2" spans="1:4" x14ac:dyDescent="0.35">
      <c r="A2">
        <v>1</v>
      </c>
      <c r="B2">
        <v>27</v>
      </c>
      <c r="C2">
        <v>2</v>
      </c>
      <c r="D2" s="1">
        <v>45743</v>
      </c>
    </row>
    <row r="3" spans="1:4" x14ac:dyDescent="0.35">
      <c r="A3">
        <v>2</v>
      </c>
      <c r="B3">
        <v>40</v>
      </c>
      <c r="C3">
        <v>1</v>
      </c>
      <c r="D3" s="1">
        <v>45835</v>
      </c>
    </row>
    <row r="4" spans="1:4" x14ac:dyDescent="0.35">
      <c r="A4">
        <v>3</v>
      </c>
      <c r="B4">
        <v>57</v>
      </c>
      <c r="C4">
        <v>1</v>
      </c>
      <c r="D4" s="1">
        <v>45957</v>
      </c>
    </row>
    <row r="5" spans="1:4" x14ac:dyDescent="0.35">
      <c r="A5">
        <v>4</v>
      </c>
      <c r="B5">
        <v>48</v>
      </c>
      <c r="C5">
        <v>3</v>
      </c>
      <c r="D5" s="1">
        <v>45731</v>
      </c>
    </row>
    <row r="6" spans="1:4" x14ac:dyDescent="0.35">
      <c r="A6">
        <v>5</v>
      </c>
      <c r="B6">
        <v>67</v>
      </c>
      <c r="C6">
        <v>4</v>
      </c>
      <c r="D6" s="1">
        <v>45934</v>
      </c>
    </row>
    <row r="7" spans="1:4" x14ac:dyDescent="0.35">
      <c r="A7">
        <v>6</v>
      </c>
      <c r="B7">
        <v>88</v>
      </c>
      <c r="C7">
        <v>4</v>
      </c>
      <c r="D7" s="1">
        <v>45981</v>
      </c>
    </row>
    <row r="8" spans="1:4" x14ac:dyDescent="0.35">
      <c r="A8">
        <v>7</v>
      </c>
      <c r="B8">
        <v>60</v>
      </c>
      <c r="C8">
        <v>4</v>
      </c>
      <c r="D8" s="1">
        <v>45815</v>
      </c>
    </row>
    <row r="9" spans="1:4" x14ac:dyDescent="0.35">
      <c r="A9">
        <v>8</v>
      </c>
      <c r="B9">
        <v>4</v>
      </c>
      <c r="C9">
        <v>9</v>
      </c>
      <c r="D9" s="1">
        <v>45927</v>
      </c>
    </row>
    <row r="10" spans="1:4" x14ac:dyDescent="0.35">
      <c r="A10">
        <v>9</v>
      </c>
      <c r="B10">
        <v>50</v>
      </c>
      <c r="C10">
        <v>3</v>
      </c>
      <c r="D10" s="1">
        <v>45740</v>
      </c>
    </row>
    <row r="11" spans="1:4" x14ac:dyDescent="0.35">
      <c r="A11">
        <v>10</v>
      </c>
      <c r="B11">
        <v>16</v>
      </c>
      <c r="C11">
        <v>5</v>
      </c>
      <c r="D11" s="1">
        <v>45815</v>
      </c>
    </row>
    <row r="12" spans="1:4" x14ac:dyDescent="0.35">
      <c r="A12">
        <v>11</v>
      </c>
      <c r="B12">
        <v>74</v>
      </c>
      <c r="C12">
        <v>7</v>
      </c>
      <c r="D12" s="1">
        <v>45878</v>
      </c>
    </row>
    <row r="13" spans="1:4" x14ac:dyDescent="0.35">
      <c r="A13">
        <v>12</v>
      </c>
      <c r="B13">
        <v>69</v>
      </c>
      <c r="C13">
        <v>8</v>
      </c>
      <c r="D13" s="1">
        <v>45922</v>
      </c>
    </row>
    <row r="14" spans="1:4" x14ac:dyDescent="0.35">
      <c r="A14">
        <v>13</v>
      </c>
      <c r="B14">
        <v>34</v>
      </c>
      <c r="C14">
        <v>8</v>
      </c>
      <c r="D14" s="1">
        <v>45728</v>
      </c>
    </row>
    <row r="15" spans="1:4" x14ac:dyDescent="0.35">
      <c r="A15">
        <v>14</v>
      </c>
      <c r="B15">
        <v>74</v>
      </c>
      <c r="C15">
        <v>1</v>
      </c>
      <c r="D15" s="1">
        <v>45963</v>
      </c>
    </row>
    <row r="16" spans="1:4" x14ac:dyDescent="0.35">
      <c r="A16">
        <v>15</v>
      </c>
      <c r="B16">
        <v>13</v>
      </c>
      <c r="C16">
        <v>2</v>
      </c>
      <c r="D16" s="1">
        <v>45774</v>
      </c>
    </row>
    <row r="17" spans="1:4" x14ac:dyDescent="0.35">
      <c r="A17">
        <v>16</v>
      </c>
      <c r="B17">
        <v>30</v>
      </c>
      <c r="C17">
        <v>2</v>
      </c>
      <c r="D17" s="1">
        <v>45712</v>
      </c>
    </row>
    <row r="18" spans="1:4" x14ac:dyDescent="0.35">
      <c r="A18">
        <v>17</v>
      </c>
      <c r="B18">
        <v>40</v>
      </c>
      <c r="C18">
        <v>8</v>
      </c>
      <c r="D18" s="1">
        <v>45781</v>
      </c>
    </row>
    <row r="19" spans="1:4" x14ac:dyDescent="0.35">
      <c r="A19">
        <v>18</v>
      </c>
      <c r="B19">
        <v>71</v>
      </c>
      <c r="C19">
        <v>5</v>
      </c>
      <c r="D19" s="1">
        <v>45943</v>
      </c>
    </row>
    <row r="20" spans="1:4" x14ac:dyDescent="0.35">
      <c r="A20">
        <v>19</v>
      </c>
      <c r="B20">
        <v>4</v>
      </c>
      <c r="C20">
        <v>9</v>
      </c>
      <c r="D20" s="1">
        <v>45906</v>
      </c>
    </row>
    <row r="21" spans="1:4" x14ac:dyDescent="0.35">
      <c r="A21">
        <v>20</v>
      </c>
      <c r="B21">
        <v>20</v>
      </c>
      <c r="C21">
        <v>6</v>
      </c>
      <c r="D21" s="1">
        <v>45795</v>
      </c>
    </row>
    <row r="22" spans="1:4" x14ac:dyDescent="0.35">
      <c r="A22">
        <v>21</v>
      </c>
      <c r="B22">
        <v>66</v>
      </c>
      <c r="C22">
        <v>7</v>
      </c>
      <c r="D22" s="1">
        <v>45876</v>
      </c>
    </row>
    <row r="23" spans="1:4" x14ac:dyDescent="0.35">
      <c r="A23">
        <v>22</v>
      </c>
      <c r="B23">
        <v>82</v>
      </c>
      <c r="C23">
        <v>5</v>
      </c>
      <c r="D23" s="1">
        <v>46012</v>
      </c>
    </row>
    <row r="24" spans="1:4" x14ac:dyDescent="0.35">
      <c r="A24">
        <v>23</v>
      </c>
      <c r="B24">
        <v>42</v>
      </c>
      <c r="C24">
        <v>1</v>
      </c>
      <c r="D24" s="1">
        <v>45844</v>
      </c>
    </row>
    <row r="25" spans="1:4" x14ac:dyDescent="0.35">
      <c r="A25">
        <v>24</v>
      </c>
      <c r="B25">
        <v>46</v>
      </c>
      <c r="C25">
        <v>2</v>
      </c>
      <c r="D25" s="1">
        <v>45662</v>
      </c>
    </row>
    <row r="26" spans="1:4" x14ac:dyDescent="0.35">
      <c r="A26">
        <v>25</v>
      </c>
      <c r="B26">
        <v>17</v>
      </c>
      <c r="C26">
        <v>6</v>
      </c>
      <c r="D26" s="1">
        <v>45818</v>
      </c>
    </row>
    <row r="27" spans="1:4" x14ac:dyDescent="0.35">
      <c r="A27">
        <v>26</v>
      </c>
      <c r="B27">
        <v>85</v>
      </c>
      <c r="C27">
        <v>2</v>
      </c>
      <c r="D27" s="1">
        <v>45985</v>
      </c>
    </row>
    <row r="28" spans="1:4" x14ac:dyDescent="0.35">
      <c r="A28">
        <v>27</v>
      </c>
      <c r="B28">
        <v>18</v>
      </c>
      <c r="C28">
        <v>10</v>
      </c>
      <c r="D28" s="1">
        <v>45833</v>
      </c>
    </row>
    <row r="29" spans="1:4" x14ac:dyDescent="0.35">
      <c r="A29">
        <v>28</v>
      </c>
      <c r="B29">
        <v>67</v>
      </c>
      <c r="C29">
        <v>7</v>
      </c>
      <c r="D29" s="1">
        <v>45935</v>
      </c>
    </row>
    <row r="30" spans="1:4" x14ac:dyDescent="0.35">
      <c r="A30">
        <v>29</v>
      </c>
      <c r="B30">
        <v>8</v>
      </c>
      <c r="C30">
        <v>3</v>
      </c>
      <c r="D30" s="1">
        <v>45801</v>
      </c>
    </row>
    <row r="31" spans="1:4" x14ac:dyDescent="0.35">
      <c r="A31">
        <v>30</v>
      </c>
      <c r="B31">
        <v>34</v>
      </c>
      <c r="C31">
        <v>6</v>
      </c>
      <c r="D31" s="1">
        <v>45710</v>
      </c>
    </row>
    <row r="32" spans="1:4" x14ac:dyDescent="0.35">
      <c r="A32">
        <v>31</v>
      </c>
      <c r="B32">
        <v>98</v>
      </c>
      <c r="C32">
        <v>3</v>
      </c>
      <c r="D32" s="1">
        <v>45797</v>
      </c>
    </row>
    <row r="33" spans="1:4" x14ac:dyDescent="0.35">
      <c r="A33">
        <v>32</v>
      </c>
      <c r="B33">
        <v>68</v>
      </c>
      <c r="C33">
        <v>5</v>
      </c>
      <c r="D33" s="1">
        <v>45852</v>
      </c>
    </row>
    <row r="34" spans="1:4" x14ac:dyDescent="0.35">
      <c r="A34">
        <v>33</v>
      </c>
      <c r="B34">
        <v>5</v>
      </c>
      <c r="C34">
        <v>3</v>
      </c>
      <c r="D34" s="1">
        <v>45720</v>
      </c>
    </row>
    <row r="35" spans="1:4" x14ac:dyDescent="0.35">
      <c r="A35">
        <v>34</v>
      </c>
      <c r="B35">
        <v>91</v>
      </c>
      <c r="C35">
        <v>7</v>
      </c>
      <c r="D35" s="1">
        <v>45909</v>
      </c>
    </row>
    <row r="36" spans="1:4" x14ac:dyDescent="0.35">
      <c r="A36">
        <v>35</v>
      </c>
      <c r="B36">
        <v>19</v>
      </c>
      <c r="C36">
        <v>10</v>
      </c>
      <c r="D36" s="1">
        <v>45671</v>
      </c>
    </row>
    <row r="37" spans="1:4" x14ac:dyDescent="0.35">
      <c r="A37">
        <v>36</v>
      </c>
      <c r="B37">
        <v>50</v>
      </c>
      <c r="C37">
        <v>5</v>
      </c>
      <c r="D37" s="1">
        <v>45778</v>
      </c>
    </row>
    <row r="38" spans="1:4" x14ac:dyDescent="0.35">
      <c r="A38">
        <v>37</v>
      </c>
      <c r="B38">
        <v>87</v>
      </c>
      <c r="C38">
        <v>4</v>
      </c>
      <c r="D38" s="1">
        <v>46013</v>
      </c>
    </row>
    <row r="39" spans="1:4" x14ac:dyDescent="0.35">
      <c r="A39">
        <v>38</v>
      </c>
      <c r="B39">
        <v>4</v>
      </c>
      <c r="C39">
        <v>6</v>
      </c>
      <c r="D39" s="1">
        <v>46019</v>
      </c>
    </row>
    <row r="40" spans="1:4" x14ac:dyDescent="0.35">
      <c r="A40">
        <v>39</v>
      </c>
      <c r="B40">
        <v>24</v>
      </c>
      <c r="C40">
        <v>3</v>
      </c>
      <c r="D40" s="1">
        <v>45809</v>
      </c>
    </row>
    <row r="41" spans="1:4" x14ac:dyDescent="0.35">
      <c r="A41">
        <v>40</v>
      </c>
      <c r="B41">
        <v>85</v>
      </c>
      <c r="C41">
        <v>3</v>
      </c>
      <c r="D41" s="1">
        <v>45974</v>
      </c>
    </row>
    <row r="42" spans="1:4" x14ac:dyDescent="0.35">
      <c r="A42">
        <v>41</v>
      </c>
      <c r="B42">
        <v>41</v>
      </c>
      <c r="C42">
        <v>5</v>
      </c>
      <c r="D42" s="1">
        <v>45792</v>
      </c>
    </row>
    <row r="43" spans="1:4" x14ac:dyDescent="0.35">
      <c r="A43">
        <v>42</v>
      </c>
      <c r="B43">
        <v>7</v>
      </c>
      <c r="C43">
        <v>3</v>
      </c>
      <c r="D43" s="1">
        <v>45705</v>
      </c>
    </row>
    <row r="44" spans="1:4" x14ac:dyDescent="0.35">
      <c r="A44">
        <v>43</v>
      </c>
      <c r="B44">
        <v>90</v>
      </c>
      <c r="C44">
        <v>7</v>
      </c>
      <c r="D44" s="1">
        <v>45706</v>
      </c>
    </row>
    <row r="45" spans="1:4" x14ac:dyDescent="0.35">
      <c r="A45">
        <v>44</v>
      </c>
      <c r="B45">
        <v>53</v>
      </c>
      <c r="C45">
        <v>1</v>
      </c>
      <c r="D45" s="1">
        <v>45905</v>
      </c>
    </row>
    <row r="46" spans="1:4" x14ac:dyDescent="0.35">
      <c r="A46">
        <v>45</v>
      </c>
      <c r="B46">
        <v>89</v>
      </c>
      <c r="C46">
        <v>7</v>
      </c>
      <c r="D46" s="1">
        <v>45937</v>
      </c>
    </row>
    <row r="47" spans="1:4" x14ac:dyDescent="0.35">
      <c r="A47">
        <v>46</v>
      </c>
      <c r="B47">
        <v>12</v>
      </c>
      <c r="C47">
        <v>5</v>
      </c>
      <c r="D47" s="1">
        <v>45672</v>
      </c>
    </row>
    <row r="48" spans="1:4" x14ac:dyDescent="0.35">
      <c r="A48">
        <v>47</v>
      </c>
      <c r="B48">
        <v>8</v>
      </c>
      <c r="C48">
        <v>1</v>
      </c>
      <c r="D48" s="1">
        <v>45851</v>
      </c>
    </row>
    <row r="49" spans="1:4" x14ac:dyDescent="0.35">
      <c r="A49">
        <v>48</v>
      </c>
      <c r="B49">
        <v>53</v>
      </c>
      <c r="C49">
        <v>5</v>
      </c>
      <c r="D49" s="1">
        <v>45728</v>
      </c>
    </row>
    <row r="50" spans="1:4" x14ac:dyDescent="0.35">
      <c r="A50">
        <v>49</v>
      </c>
      <c r="B50">
        <v>29</v>
      </c>
      <c r="C50">
        <v>6</v>
      </c>
      <c r="D50" s="1">
        <v>45826</v>
      </c>
    </row>
    <row r="51" spans="1:4" x14ac:dyDescent="0.35">
      <c r="A51">
        <v>50</v>
      </c>
      <c r="B51">
        <v>55</v>
      </c>
      <c r="C51">
        <v>2</v>
      </c>
      <c r="D51" s="1">
        <v>45848</v>
      </c>
    </row>
    <row r="52" spans="1:4" x14ac:dyDescent="0.35">
      <c r="A52">
        <v>51</v>
      </c>
      <c r="B52">
        <v>21</v>
      </c>
      <c r="C52">
        <v>3</v>
      </c>
      <c r="D52" s="1">
        <v>45778</v>
      </c>
    </row>
    <row r="53" spans="1:4" x14ac:dyDescent="0.35">
      <c r="A53">
        <v>52</v>
      </c>
      <c r="B53">
        <v>78</v>
      </c>
      <c r="C53">
        <v>8</v>
      </c>
      <c r="D53" s="1">
        <v>45902</v>
      </c>
    </row>
    <row r="54" spans="1:4" x14ac:dyDescent="0.35">
      <c r="A54">
        <v>53</v>
      </c>
      <c r="B54">
        <v>43</v>
      </c>
      <c r="C54">
        <v>6</v>
      </c>
      <c r="D54" s="1">
        <v>46001</v>
      </c>
    </row>
    <row r="55" spans="1:4" x14ac:dyDescent="0.35">
      <c r="A55">
        <v>54</v>
      </c>
      <c r="B55">
        <v>95</v>
      </c>
      <c r="C55">
        <v>10</v>
      </c>
      <c r="D55" s="1">
        <v>45773</v>
      </c>
    </row>
    <row r="56" spans="1:4" x14ac:dyDescent="0.35">
      <c r="A56">
        <v>55</v>
      </c>
      <c r="B56">
        <v>34</v>
      </c>
      <c r="C56">
        <v>9</v>
      </c>
      <c r="D56" s="1">
        <v>45896</v>
      </c>
    </row>
    <row r="57" spans="1:4" x14ac:dyDescent="0.35">
      <c r="A57">
        <v>56</v>
      </c>
      <c r="B57">
        <v>38</v>
      </c>
      <c r="C57">
        <v>1</v>
      </c>
      <c r="D57" s="1">
        <v>45967</v>
      </c>
    </row>
    <row r="58" spans="1:4" x14ac:dyDescent="0.35">
      <c r="A58">
        <v>57</v>
      </c>
      <c r="B58">
        <v>22</v>
      </c>
      <c r="C58">
        <v>7</v>
      </c>
      <c r="D58" s="1">
        <v>45857</v>
      </c>
    </row>
    <row r="59" spans="1:4" x14ac:dyDescent="0.35">
      <c r="A59">
        <v>58</v>
      </c>
      <c r="B59">
        <v>19</v>
      </c>
      <c r="C59">
        <v>3</v>
      </c>
      <c r="D59" s="1">
        <v>45732</v>
      </c>
    </row>
    <row r="60" spans="1:4" x14ac:dyDescent="0.35">
      <c r="A60">
        <v>59</v>
      </c>
      <c r="B60">
        <v>43</v>
      </c>
      <c r="C60">
        <v>7</v>
      </c>
      <c r="D60" s="1">
        <v>45886</v>
      </c>
    </row>
    <row r="61" spans="1:4" x14ac:dyDescent="0.35">
      <c r="A61">
        <v>60</v>
      </c>
      <c r="B61">
        <v>95</v>
      </c>
      <c r="C61">
        <v>2</v>
      </c>
      <c r="D61" s="1">
        <v>45893</v>
      </c>
    </row>
    <row r="62" spans="1:4" x14ac:dyDescent="0.35">
      <c r="A62">
        <v>61</v>
      </c>
      <c r="B62">
        <v>26</v>
      </c>
      <c r="C62">
        <v>2</v>
      </c>
      <c r="D62" s="1">
        <v>45710</v>
      </c>
    </row>
    <row r="63" spans="1:4" x14ac:dyDescent="0.35">
      <c r="A63">
        <v>62</v>
      </c>
      <c r="B63">
        <v>83</v>
      </c>
      <c r="C63">
        <v>2</v>
      </c>
      <c r="D63" s="1">
        <v>45871</v>
      </c>
    </row>
    <row r="64" spans="1:4" x14ac:dyDescent="0.35">
      <c r="A64">
        <v>63</v>
      </c>
      <c r="B64">
        <v>41</v>
      </c>
      <c r="C64">
        <v>10</v>
      </c>
      <c r="D64" s="1">
        <v>45943</v>
      </c>
    </row>
    <row r="65" spans="1:4" x14ac:dyDescent="0.35">
      <c r="A65">
        <v>64</v>
      </c>
      <c r="B65">
        <v>58</v>
      </c>
      <c r="C65">
        <v>9</v>
      </c>
      <c r="D65" s="1">
        <v>45905</v>
      </c>
    </row>
    <row r="66" spans="1:4" x14ac:dyDescent="0.35">
      <c r="A66">
        <v>65</v>
      </c>
      <c r="B66">
        <v>93</v>
      </c>
      <c r="C66">
        <v>6</v>
      </c>
      <c r="D66" s="1">
        <v>45748</v>
      </c>
    </row>
    <row r="67" spans="1:4" x14ac:dyDescent="0.35">
      <c r="A67">
        <v>66</v>
      </c>
      <c r="B67">
        <v>72</v>
      </c>
      <c r="C67">
        <v>4</v>
      </c>
      <c r="D67" s="1">
        <v>45910</v>
      </c>
    </row>
    <row r="68" spans="1:4" x14ac:dyDescent="0.35">
      <c r="A68">
        <v>67</v>
      </c>
      <c r="B68">
        <v>41</v>
      </c>
      <c r="C68">
        <v>3</v>
      </c>
      <c r="D68" s="1">
        <v>45814</v>
      </c>
    </row>
    <row r="69" spans="1:4" x14ac:dyDescent="0.35">
      <c r="A69">
        <v>68</v>
      </c>
      <c r="B69">
        <v>65</v>
      </c>
      <c r="C69">
        <v>5</v>
      </c>
      <c r="D69" s="1">
        <v>45846</v>
      </c>
    </row>
    <row r="70" spans="1:4" x14ac:dyDescent="0.35">
      <c r="A70">
        <v>69</v>
      </c>
      <c r="B70">
        <v>43</v>
      </c>
      <c r="C70">
        <v>9</v>
      </c>
      <c r="D70" s="1">
        <v>45804</v>
      </c>
    </row>
    <row r="71" spans="1:4" x14ac:dyDescent="0.35">
      <c r="A71">
        <v>70</v>
      </c>
      <c r="B71">
        <v>4</v>
      </c>
      <c r="C71">
        <v>1</v>
      </c>
      <c r="D71" s="1">
        <v>45797</v>
      </c>
    </row>
    <row r="72" spans="1:4" x14ac:dyDescent="0.35">
      <c r="A72">
        <v>71</v>
      </c>
      <c r="B72">
        <v>84</v>
      </c>
      <c r="C72">
        <v>1</v>
      </c>
      <c r="D72" s="1">
        <v>45815</v>
      </c>
    </row>
    <row r="73" spans="1:4" x14ac:dyDescent="0.35">
      <c r="A73">
        <v>72</v>
      </c>
      <c r="B73">
        <v>84</v>
      </c>
      <c r="C73">
        <v>9</v>
      </c>
      <c r="D73" s="1">
        <v>45962</v>
      </c>
    </row>
    <row r="74" spans="1:4" x14ac:dyDescent="0.35">
      <c r="A74">
        <v>73</v>
      </c>
      <c r="B74">
        <v>89</v>
      </c>
      <c r="C74">
        <v>1</v>
      </c>
      <c r="D74" s="1">
        <v>45779</v>
      </c>
    </row>
    <row r="75" spans="1:4" x14ac:dyDescent="0.35">
      <c r="A75">
        <v>74</v>
      </c>
      <c r="B75">
        <v>55</v>
      </c>
      <c r="C75">
        <v>6</v>
      </c>
      <c r="D75" s="1">
        <v>45733</v>
      </c>
    </row>
    <row r="76" spans="1:4" x14ac:dyDescent="0.35">
      <c r="A76">
        <v>75</v>
      </c>
      <c r="B76">
        <v>58</v>
      </c>
      <c r="C76">
        <v>3</v>
      </c>
      <c r="D76" s="1">
        <v>45932</v>
      </c>
    </row>
    <row r="77" spans="1:4" x14ac:dyDescent="0.35">
      <c r="A77">
        <v>76</v>
      </c>
      <c r="B77">
        <v>22</v>
      </c>
      <c r="C77">
        <v>6</v>
      </c>
      <c r="D77" s="1">
        <v>45689</v>
      </c>
    </row>
    <row r="78" spans="1:4" x14ac:dyDescent="0.35">
      <c r="A78">
        <v>77</v>
      </c>
      <c r="B78">
        <v>93</v>
      </c>
      <c r="C78">
        <v>7</v>
      </c>
      <c r="D78" s="1">
        <v>45911</v>
      </c>
    </row>
    <row r="79" spans="1:4" x14ac:dyDescent="0.35">
      <c r="A79">
        <v>78</v>
      </c>
      <c r="B79">
        <v>93</v>
      </c>
      <c r="C79">
        <v>8</v>
      </c>
      <c r="D79" s="1">
        <v>45956</v>
      </c>
    </row>
    <row r="80" spans="1:4" x14ac:dyDescent="0.35">
      <c r="A80">
        <v>79</v>
      </c>
      <c r="B80">
        <v>81</v>
      </c>
      <c r="C80">
        <v>10</v>
      </c>
      <c r="D80" s="1">
        <v>45670</v>
      </c>
    </row>
    <row r="81" spans="1:4" x14ac:dyDescent="0.35">
      <c r="A81">
        <v>80</v>
      </c>
      <c r="B81">
        <v>34</v>
      </c>
      <c r="C81">
        <v>10</v>
      </c>
      <c r="D81" s="1">
        <v>45730</v>
      </c>
    </row>
    <row r="82" spans="1:4" x14ac:dyDescent="0.35">
      <c r="A82">
        <v>81</v>
      </c>
      <c r="B82">
        <v>34</v>
      </c>
      <c r="C82">
        <v>9</v>
      </c>
      <c r="D82" s="1">
        <v>45771</v>
      </c>
    </row>
    <row r="83" spans="1:4" x14ac:dyDescent="0.35">
      <c r="A83">
        <v>82</v>
      </c>
      <c r="B83">
        <v>3</v>
      </c>
      <c r="C83">
        <v>7</v>
      </c>
      <c r="D83" s="1">
        <v>45731</v>
      </c>
    </row>
    <row r="84" spans="1:4" x14ac:dyDescent="0.35">
      <c r="A84">
        <v>83</v>
      </c>
      <c r="B84">
        <v>33</v>
      </c>
      <c r="C84">
        <v>9</v>
      </c>
      <c r="D84" s="1">
        <v>45734</v>
      </c>
    </row>
    <row r="85" spans="1:4" x14ac:dyDescent="0.35">
      <c r="A85">
        <v>84</v>
      </c>
      <c r="B85">
        <v>12</v>
      </c>
      <c r="C85">
        <v>3</v>
      </c>
      <c r="D85" s="1">
        <v>45764</v>
      </c>
    </row>
    <row r="86" spans="1:4" x14ac:dyDescent="0.35">
      <c r="A86">
        <v>85</v>
      </c>
      <c r="B86">
        <v>63</v>
      </c>
      <c r="C86">
        <v>10</v>
      </c>
      <c r="D86" s="1">
        <v>45721</v>
      </c>
    </row>
    <row r="87" spans="1:4" x14ac:dyDescent="0.35">
      <c r="A87">
        <v>86</v>
      </c>
      <c r="B87">
        <v>95</v>
      </c>
      <c r="C87">
        <v>9</v>
      </c>
      <c r="D87" s="1">
        <v>45962</v>
      </c>
    </row>
    <row r="88" spans="1:4" x14ac:dyDescent="0.35">
      <c r="A88">
        <v>87</v>
      </c>
      <c r="B88">
        <v>32</v>
      </c>
      <c r="C88">
        <v>10</v>
      </c>
      <c r="D88" s="1">
        <v>45948</v>
      </c>
    </row>
    <row r="89" spans="1:4" x14ac:dyDescent="0.35">
      <c r="A89">
        <v>88</v>
      </c>
      <c r="B89">
        <v>83</v>
      </c>
      <c r="C89">
        <v>8</v>
      </c>
      <c r="D89" s="1">
        <v>45916</v>
      </c>
    </row>
    <row r="90" spans="1:4" x14ac:dyDescent="0.35">
      <c r="A90">
        <v>89</v>
      </c>
      <c r="B90">
        <v>38</v>
      </c>
      <c r="C90">
        <v>8</v>
      </c>
      <c r="D90" s="1">
        <v>45771</v>
      </c>
    </row>
    <row r="91" spans="1:4" x14ac:dyDescent="0.35">
      <c r="A91">
        <v>90</v>
      </c>
      <c r="B91">
        <v>4</v>
      </c>
      <c r="C91">
        <v>2</v>
      </c>
      <c r="D91" s="1">
        <v>45997</v>
      </c>
    </row>
    <row r="92" spans="1:4" x14ac:dyDescent="0.35">
      <c r="A92">
        <v>91</v>
      </c>
      <c r="B92">
        <v>3</v>
      </c>
      <c r="C92">
        <v>9</v>
      </c>
      <c r="D92" s="1">
        <v>45716</v>
      </c>
    </row>
    <row r="93" spans="1:4" x14ac:dyDescent="0.35">
      <c r="A93">
        <v>92</v>
      </c>
      <c r="B93">
        <v>20</v>
      </c>
      <c r="C93">
        <v>5</v>
      </c>
      <c r="D93" s="1">
        <v>45950</v>
      </c>
    </row>
    <row r="94" spans="1:4" x14ac:dyDescent="0.35">
      <c r="A94">
        <v>93</v>
      </c>
      <c r="B94">
        <v>34</v>
      </c>
      <c r="C94">
        <v>1</v>
      </c>
      <c r="D94" s="1">
        <v>45931</v>
      </c>
    </row>
    <row r="95" spans="1:4" x14ac:dyDescent="0.35">
      <c r="A95">
        <v>94</v>
      </c>
      <c r="B95">
        <v>67</v>
      </c>
      <c r="C95">
        <v>10</v>
      </c>
      <c r="D95" s="1">
        <v>45943</v>
      </c>
    </row>
    <row r="96" spans="1:4" x14ac:dyDescent="0.35">
      <c r="A96">
        <v>95</v>
      </c>
      <c r="B96">
        <v>66</v>
      </c>
      <c r="C96">
        <v>4</v>
      </c>
      <c r="D96" s="1">
        <v>45892</v>
      </c>
    </row>
    <row r="97" spans="1:4" x14ac:dyDescent="0.35">
      <c r="A97">
        <v>96</v>
      </c>
      <c r="B97">
        <v>90</v>
      </c>
      <c r="C97">
        <v>2</v>
      </c>
      <c r="D97" s="1">
        <v>45672</v>
      </c>
    </row>
    <row r="98" spans="1:4" x14ac:dyDescent="0.35">
      <c r="A98">
        <v>97</v>
      </c>
      <c r="B98">
        <v>72</v>
      </c>
      <c r="C98">
        <v>6</v>
      </c>
      <c r="D98" s="1">
        <v>45796</v>
      </c>
    </row>
    <row r="99" spans="1:4" x14ac:dyDescent="0.35">
      <c r="A99">
        <v>98</v>
      </c>
      <c r="B99">
        <v>8</v>
      </c>
      <c r="C99">
        <v>7</v>
      </c>
      <c r="D99" s="1">
        <v>45909</v>
      </c>
    </row>
    <row r="100" spans="1:4" x14ac:dyDescent="0.35">
      <c r="A100">
        <v>99</v>
      </c>
      <c r="B100">
        <v>82</v>
      </c>
      <c r="C100">
        <v>2</v>
      </c>
      <c r="D100" s="1">
        <v>45681</v>
      </c>
    </row>
    <row r="101" spans="1:4" x14ac:dyDescent="0.35">
      <c r="A101">
        <v>100</v>
      </c>
      <c r="B101">
        <v>90</v>
      </c>
      <c r="C101">
        <v>6</v>
      </c>
      <c r="D101" s="1">
        <v>45968</v>
      </c>
    </row>
    <row r="102" spans="1:4" x14ac:dyDescent="0.35">
      <c r="A102">
        <v>101</v>
      </c>
      <c r="B102">
        <v>35</v>
      </c>
      <c r="C102">
        <v>9</v>
      </c>
      <c r="D102" s="1">
        <v>46002</v>
      </c>
    </row>
    <row r="103" spans="1:4" x14ac:dyDescent="0.35">
      <c r="A103">
        <v>102</v>
      </c>
      <c r="B103">
        <v>3</v>
      </c>
      <c r="C103">
        <v>2</v>
      </c>
      <c r="D103" s="1">
        <v>45702</v>
      </c>
    </row>
    <row r="104" spans="1:4" x14ac:dyDescent="0.35">
      <c r="A104">
        <v>103</v>
      </c>
      <c r="B104">
        <v>1</v>
      </c>
      <c r="C104">
        <v>3</v>
      </c>
      <c r="D104" s="1">
        <v>45965</v>
      </c>
    </row>
    <row r="105" spans="1:4" x14ac:dyDescent="0.35">
      <c r="A105">
        <v>104</v>
      </c>
      <c r="B105">
        <v>90</v>
      </c>
      <c r="C105">
        <v>10</v>
      </c>
      <c r="D105" s="1">
        <v>45918</v>
      </c>
    </row>
    <row r="106" spans="1:4" x14ac:dyDescent="0.35">
      <c r="A106">
        <v>105</v>
      </c>
      <c r="B106">
        <v>93</v>
      </c>
      <c r="C106">
        <v>3</v>
      </c>
      <c r="D106" s="1">
        <v>45676</v>
      </c>
    </row>
    <row r="107" spans="1:4" x14ac:dyDescent="0.35">
      <c r="A107">
        <v>106</v>
      </c>
      <c r="B107">
        <v>42</v>
      </c>
      <c r="C107">
        <v>6</v>
      </c>
      <c r="D107" s="1">
        <v>45673</v>
      </c>
    </row>
    <row r="108" spans="1:4" x14ac:dyDescent="0.35">
      <c r="A108">
        <v>107</v>
      </c>
      <c r="B108">
        <v>54</v>
      </c>
      <c r="C108">
        <v>9</v>
      </c>
      <c r="D108" s="1">
        <v>45911</v>
      </c>
    </row>
    <row r="109" spans="1:4" x14ac:dyDescent="0.35">
      <c r="A109">
        <v>108</v>
      </c>
      <c r="B109">
        <v>71</v>
      </c>
      <c r="C109">
        <v>10</v>
      </c>
      <c r="D109" s="1">
        <v>45680</v>
      </c>
    </row>
    <row r="110" spans="1:4" x14ac:dyDescent="0.35">
      <c r="A110">
        <v>109</v>
      </c>
      <c r="B110">
        <v>85</v>
      </c>
      <c r="C110">
        <v>2</v>
      </c>
      <c r="D110" s="1">
        <v>45722</v>
      </c>
    </row>
    <row r="111" spans="1:4" x14ac:dyDescent="0.35">
      <c r="A111">
        <v>110</v>
      </c>
      <c r="B111">
        <v>85</v>
      </c>
      <c r="C111">
        <v>1</v>
      </c>
      <c r="D111" s="1">
        <v>45852</v>
      </c>
    </row>
    <row r="112" spans="1:4" x14ac:dyDescent="0.35">
      <c r="A112">
        <v>111</v>
      </c>
      <c r="B112">
        <v>54</v>
      </c>
      <c r="C112">
        <v>10</v>
      </c>
      <c r="D112" s="1">
        <v>45987</v>
      </c>
    </row>
    <row r="113" spans="1:4" x14ac:dyDescent="0.35">
      <c r="A113">
        <v>112</v>
      </c>
      <c r="B113">
        <v>87</v>
      </c>
      <c r="C113">
        <v>6</v>
      </c>
      <c r="D113" s="1">
        <v>45894</v>
      </c>
    </row>
    <row r="114" spans="1:4" x14ac:dyDescent="0.35">
      <c r="A114">
        <v>113</v>
      </c>
      <c r="B114">
        <v>31</v>
      </c>
      <c r="C114">
        <v>1</v>
      </c>
      <c r="D114" s="1">
        <v>45811</v>
      </c>
    </row>
    <row r="115" spans="1:4" x14ac:dyDescent="0.35">
      <c r="A115">
        <v>114</v>
      </c>
      <c r="B115">
        <v>49</v>
      </c>
      <c r="C115">
        <v>9</v>
      </c>
      <c r="D115" s="1">
        <v>45774</v>
      </c>
    </row>
    <row r="116" spans="1:4" x14ac:dyDescent="0.35">
      <c r="A116">
        <v>115</v>
      </c>
      <c r="B116">
        <v>9</v>
      </c>
      <c r="C116">
        <v>10</v>
      </c>
      <c r="D116" s="1">
        <v>46004</v>
      </c>
    </row>
    <row r="117" spans="1:4" x14ac:dyDescent="0.35">
      <c r="A117">
        <v>116</v>
      </c>
      <c r="B117">
        <v>5</v>
      </c>
      <c r="C117">
        <v>8</v>
      </c>
      <c r="D117" s="1">
        <v>46000</v>
      </c>
    </row>
    <row r="118" spans="1:4" x14ac:dyDescent="0.35">
      <c r="A118">
        <v>117</v>
      </c>
      <c r="B118">
        <v>12</v>
      </c>
      <c r="C118">
        <v>9</v>
      </c>
      <c r="D118" s="1">
        <v>45680</v>
      </c>
    </row>
    <row r="119" spans="1:4" x14ac:dyDescent="0.35">
      <c r="A119">
        <v>118</v>
      </c>
      <c r="B119">
        <v>51</v>
      </c>
      <c r="C119">
        <v>3</v>
      </c>
      <c r="D119" s="1">
        <v>45684</v>
      </c>
    </row>
    <row r="120" spans="1:4" x14ac:dyDescent="0.35">
      <c r="A120">
        <v>119</v>
      </c>
      <c r="B120">
        <v>40</v>
      </c>
      <c r="C120">
        <v>8</v>
      </c>
      <c r="D120" s="1">
        <v>45734</v>
      </c>
    </row>
    <row r="121" spans="1:4" x14ac:dyDescent="0.35">
      <c r="A121">
        <v>120</v>
      </c>
      <c r="B121">
        <v>27</v>
      </c>
      <c r="C121">
        <v>6</v>
      </c>
      <c r="D121" s="1">
        <v>45903</v>
      </c>
    </row>
    <row r="122" spans="1:4" x14ac:dyDescent="0.35">
      <c r="A122">
        <v>121</v>
      </c>
      <c r="B122">
        <v>28</v>
      </c>
      <c r="C122">
        <v>9</v>
      </c>
      <c r="D122" s="1">
        <v>45910</v>
      </c>
    </row>
    <row r="123" spans="1:4" x14ac:dyDescent="0.35">
      <c r="A123">
        <v>122</v>
      </c>
      <c r="B123">
        <v>51</v>
      </c>
      <c r="C123">
        <v>10</v>
      </c>
      <c r="D123" s="1">
        <v>45726</v>
      </c>
    </row>
    <row r="124" spans="1:4" x14ac:dyDescent="0.35">
      <c r="A124">
        <v>123</v>
      </c>
      <c r="B124">
        <v>57</v>
      </c>
      <c r="C124">
        <v>6</v>
      </c>
      <c r="D124" s="1">
        <v>45841</v>
      </c>
    </row>
    <row r="125" spans="1:4" x14ac:dyDescent="0.35">
      <c r="A125">
        <v>124</v>
      </c>
      <c r="B125">
        <v>24</v>
      </c>
      <c r="C125">
        <v>7</v>
      </c>
      <c r="D125" s="1">
        <v>45940</v>
      </c>
    </row>
    <row r="126" spans="1:4" x14ac:dyDescent="0.35">
      <c r="A126">
        <v>125</v>
      </c>
      <c r="B126">
        <v>61</v>
      </c>
      <c r="C126">
        <v>5</v>
      </c>
      <c r="D126" s="1">
        <v>45874</v>
      </c>
    </row>
    <row r="127" spans="1:4" x14ac:dyDescent="0.35">
      <c r="A127">
        <v>126</v>
      </c>
      <c r="B127">
        <v>53</v>
      </c>
      <c r="C127">
        <v>5</v>
      </c>
      <c r="D127" s="1">
        <v>45903</v>
      </c>
    </row>
    <row r="128" spans="1:4" x14ac:dyDescent="0.35">
      <c r="A128">
        <v>127</v>
      </c>
      <c r="B128">
        <v>78</v>
      </c>
      <c r="C128">
        <v>8</v>
      </c>
      <c r="D128" s="1">
        <v>45893</v>
      </c>
    </row>
    <row r="129" spans="1:4" x14ac:dyDescent="0.35">
      <c r="A129">
        <v>128</v>
      </c>
      <c r="B129">
        <v>42</v>
      </c>
      <c r="C129">
        <v>8</v>
      </c>
      <c r="D129" s="1">
        <v>45893</v>
      </c>
    </row>
    <row r="130" spans="1:4" x14ac:dyDescent="0.35">
      <c r="A130">
        <v>129</v>
      </c>
      <c r="B130">
        <v>61</v>
      </c>
      <c r="C130">
        <v>3</v>
      </c>
      <c r="D130" s="1">
        <v>46013</v>
      </c>
    </row>
    <row r="131" spans="1:4" x14ac:dyDescent="0.35">
      <c r="A131">
        <v>130</v>
      </c>
      <c r="B131">
        <v>47</v>
      </c>
      <c r="C131">
        <v>4</v>
      </c>
      <c r="D131" s="1">
        <v>46010</v>
      </c>
    </row>
    <row r="132" spans="1:4" x14ac:dyDescent="0.35">
      <c r="A132">
        <v>131</v>
      </c>
      <c r="B132">
        <v>17</v>
      </c>
      <c r="C132">
        <v>7</v>
      </c>
      <c r="D132" s="1">
        <v>45937</v>
      </c>
    </row>
    <row r="133" spans="1:4" x14ac:dyDescent="0.35">
      <c r="A133">
        <v>132</v>
      </c>
      <c r="B133">
        <v>58</v>
      </c>
      <c r="C133">
        <v>6</v>
      </c>
      <c r="D133" s="1">
        <v>45721</v>
      </c>
    </row>
    <row r="134" spans="1:4" x14ac:dyDescent="0.35">
      <c r="A134">
        <v>133</v>
      </c>
      <c r="B134">
        <v>44</v>
      </c>
      <c r="C134">
        <v>2</v>
      </c>
      <c r="D134" s="1">
        <v>46015</v>
      </c>
    </row>
    <row r="135" spans="1:4" x14ac:dyDescent="0.35">
      <c r="A135">
        <v>134</v>
      </c>
      <c r="B135">
        <v>26</v>
      </c>
      <c r="C135">
        <v>8</v>
      </c>
      <c r="D135" s="1">
        <v>45858</v>
      </c>
    </row>
    <row r="136" spans="1:4" x14ac:dyDescent="0.35">
      <c r="A136">
        <v>135</v>
      </c>
      <c r="B136">
        <v>24</v>
      </c>
      <c r="C136">
        <v>2</v>
      </c>
      <c r="D136" s="1">
        <v>45859</v>
      </c>
    </row>
    <row r="137" spans="1:4" x14ac:dyDescent="0.35">
      <c r="A137">
        <v>136</v>
      </c>
      <c r="B137">
        <v>1</v>
      </c>
      <c r="C137">
        <v>10</v>
      </c>
      <c r="D137" s="1">
        <v>45711</v>
      </c>
    </row>
    <row r="138" spans="1:4" x14ac:dyDescent="0.35">
      <c r="A138">
        <v>137</v>
      </c>
      <c r="B138">
        <v>9</v>
      </c>
      <c r="C138">
        <v>8</v>
      </c>
      <c r="D138" s="1">
        <v>45785</v>
      </c>
    </row>
    <row r="139" spans="1:4" x14ac:dyDescent="0.35">
      <c r="A139">
        <v>138</v>
      </c>
      <c r="B139">
        <v>39</v>
      </c>
      <c r="C139">
        <v>10</v>
      </c>
      <c r="D139" s="1">
        <v>45716</v>
      </c>
    </row>
    <row r="140" spans="1:4" x14ac:dyDescent="0.35">
      <c r="A140">
        <v>139</v>
      </c>
      <c r="B140">
        <v>78</v>
      </c>
      <c r="C140">
        <v>5</v>
      </c>
      <c r="D140" s="1">
        <v>45773</v>
      </c>
    </row>
    <row r="141" spans="1:4" x14ac:dyDescent="0.35">
      <c r="A141">
        <v>140</v>
      </c>
      <c r="B141">
        <v>49</v>
      </c>
      <c r="C141">
        <v>3</v>
      </c>
      <c r="D141" s="1">
        <v>45669</v>
      </c>
    </row>
    <row r="142" spans="1:4" x14ac:dyDescent="0.35">
      <c r="A142">
        <v>141</v>
      </c>
      <c r="B142">
        <v>19</v>
      </c>
      <c r="C142">
        <v>8</v>
      </c>
      <c r="D142" s="1">
        <v>45904</v>
      </c>
    </row>
    <row r="143" spans="1:4" x14ac:dyDescent="0.35">
      <c r="A143">
        <v>142</v>
      </c>
      <c r="B143">
        <v>30</v>
      </c>
      <c r="C143">
        <v>7</v>
      </c>
      <c r="D143" s="1">
        <v>45948</v>
      </c>
    </row>
    <row r="144" spans="1:4" x14ac:dyDescent="0.35">
      <c r="A144">
        <v>143</v>
      </c>
      <c r="B144">
        <v>59</v>
      </c>
      <c r="C144">
        <v>3</v>
      </c>
      <c r="D144" s="1">
        <v>45917</v>
      </c>
    </row>
    <row r="145" spans="1:4" x14ac:dyDescent="0.35">
      <c r="A145">
        <v>144</v>
      </c>
      <c r="B145">
        <v>10</v>
      </c>
      <c r="C145">
        <v>7</v>
      </c>
      <c r="D145" s="1">
        <v>45826</v>
      </c>
    </row>
    <row r="146" spans="1:4" x14ac:dyDescent="0.35">
      <c r="A146">
        <v>145</v>
      </c>
      <c r="B146">
        <v>28</v>
      </c>
      <c r="C146">
        <v>4</v>
      </c>
      <c r="D146" s="1">
        <v>45774</v>
      </c>
    </row>
    <row r="147" spans="1:4" x14ac:dyDescent="0.35">
      <c r="A147">
        <v>146</v>
      </c>
      <c r="B147">
        <v>67</v>
      </c>
      <c r="C147">
        <v>7</v>
      </c>
      <c r="D147" s="1">
        <v>45816</v>
      </c>
    </row>
    <row r="148" spans="1:4" x14ac:dyDescent="0.35">
      <c r="A148">
        <v>147</v>
      </c>
      <c r="B148">
        <v>90</v>
      </c>
      <c r="C148">
        <v>7</v>
      </c>
      <c r="D148" s="1">
        <v>45725</v>
      </c>
    </row>
    <row r="149" spans="1:4" x14ac:dyDescent="0.35">
      <c r="A149">
        <v>148</v>
      </c>
      <c r="B149">
        <v>20</v>
      </c>
      <c r="C149">
        <v>4</v>
      </c>
      <c r="D149" s="1">
        <v>45663</v>
      </c>
    </row>
    <row r="150" spans="1:4" x14ac:dyDescent="0.35">
      <c r="A150">
        <v>149</v>
      </c>
      <c r="B150">
        <v>19</v>
      </c>
      <c r="C150">
        <v>4</v>
      </c>
      <c r="D150" s="1">
        <v>45952</v>
      </c>
    </row>
    <row r="151" spans="1:4" x14ac:dyDescent="0.35">
      <c r="A151">
        <v>150</v>
      </c>
      <c r="B151">
        <v>40</v>
      </c>
      <c r="C151">
        <v>5</v>
      </c>
      <c r="D151" s="1">
        <v>45989</v>
      </c>
    </row>
    <row r="152" spans="1:4" x14ac:dyDescent="0.35">
      <c r="A152">
        <v>151</v>
      </c>
      <c r="B152">
        <v>37</v>
      </c>
      <c r="C152">
        <v>7</v>
      </c>
      <c r="D152" s="1">
        <v>45947</v>
      </c>
    </row>
    <row r="153" spans="1:4" x14ac:dyDescent="0.35">
      <c r="A153">
        <v>152</v>
      </c>
      <c r="B153">
        <v>80</v>
      </c>
      <c r="C153">
        <v>6</v>
      </c>
      <c r="D153" s="1">
        <v>45831</v>
      </c>
    </row>
    <row r="154" spans="1:4" x14ac:dyDescent="0.35">
      <c r="A154">
        <v>153</v>
      </c>
      <c r="B154">
        <v>75</v>
      </c>
      <c r="C154">
        <v>1</v>
      </c>
      <c r="D154" s="1">
        <v>45767</v>
      </c>
    </row>
    <row r="155" spans="1:4" x14ac:dyDescent="0.35">
      <c r="A155">
        <v>154</v>
      </c>
      <c r="B155">
        <v>3</v>
      </c>
      <c r="C155">
        <v>10</v>
      </c>
      <c r="D155" s="1">
        <v>45913</v>
      </c>
    </row>
    <row r="156" spans="1:4" x14ac:dyDescent="0.35">
      <c r="A156">
        <v>155</v>
      </c>
      <c r="B156">
        <v>57</v>
      </c>
      <c r="C156">
        <v>7</v>
      </c>
      <c r="D156" s="1">
        <v>45836</v>
      </c>
    </row>
    <row r="157" spans="1:4" x14ac:dyDescent="0.35">
      <c r="A157">
        <v>156</v>
      </c>
      <c r="B157">
        <v>83</v>
      </c>
      <c r="C157">
        <v>9</v>
      </c>
      <c r="D157" s="1">
        <v>45934</v>
      </c>
    </row>
    <row r="158" spans="1:4" x14ac:dyDescent="0.35">
      <c r="A158">
        <v>157</v>
      </c>
      <c r="B158">
        <v>25</v>
      </c>
      <c r="C158">
        <v>9</v>
      </c>
      <c r="D158" s="1">
        <v>45966</v>
      </c>
    </row>
    <row r="159" spans="1:4" x14ac:dyDescent="0.35">
      <c r="A159">
        <v>158</v>
      </c>
      <c r="B159">
        <v>48</v>
      </c>
      <c r="C159">
        <v>9</v>
      </c>
      <c r="D159" s="1">
        <v>45996</v>
      </c>
    </row>
    <row r="160" spans="1:4" x14ac:dyDescent="0.35">
      <c r="A160">
        <v>159</v>
      </c>
      <c r="B160">
        <v>81</v>
      </c>
      <c r="C160">
        <v>8</v>
      </c>
      <c r="D160" s="1">
        <v>45920</v>
      </c>
    </row>
    <row r="161" spans="1:4" x14ac:dyDescent="0.35">
      <c r="A161">
        <v>160</v>
      </c>
      <c r="B161">
        <v>93</v>
      </c>
      <c r="C161">
        <v>3</v>
      </c>
      <c r="D161" s="1">
        <v>45662</v>
      </c>
    </row>
    <row r="162" spans="1:4" x14ac:dyDescent="0.35">
      <c r="A162">
        <v>161</v>
      </c>
      <c r="B162">
        <v>5</v>
      </c>
      <c r="C162">
        <v>8</v>
      </c>
      <c r="D162" s="1">
        <v>45768</v>
      </c>
    </row>
    <row r="163" spans="1:4" x14ac:dyDescent="0.35">
      <c r="A163">
        <v>162</v>
      </c>
      <c r="B163">
        <v>9</v>
      </c>
      <c r="C163">
        <v>10</v>
      </c>
      <c r="D163" s="1">
        <v>45689</v>
      </c>
    </row>
    <row r="164" spans="1:4" x14ac:dyDescent="0.35">
      <c r="A164">
        <v>163</v>
      </c>
      <c r="B164">
        <v>63</v>
      </c>
      <c r="C164">
        <v>3</v>
      </c>
      <c r="D164" s="1">
        <v>45965</v>
      </c>
    </row>
    <row r="165" spans="1:4" x14ac:dyDescent="0.35">
      <c r="A165">
        <v>164</v>
      </c>
      <c r="B165">
        <v>4</v>
      </c>
      <c r="C165">
        <v>8</v>
      </c>
      <c r="D165" s="1">
        <v>45723</v>
      </c>
    </row>
    <row r="166" spans="1:4" x14ac:dyDescent="0.35">
      <c r="A166">
        <v>165</v>
      </c>
      <c r="B166">
        <v>90</v>
      </c>
      <c r="C166">
        <v>1</v>
      </c>
      <c r="D166" s="1">
        <v>45767</v>
      </c>
    </row>
    <row r="167" spans="1:4" x14ac:dyDescent="0.35">
      <c r="A167">
        <v>166</v>
      </c>
      <c r="B167">
        <v>97</v>
      </c>
      <c r="C167">
        <v>5</v>
      </c>
      <c r="D167" s="1">
        <v>45677</v>
      </c>
    </row>
    <row r="168" spans="1:4" x14ac:dyDescent="0.35">
      <c r="A168">
        <v>167</v>
      </c>
      <c r="B168">
        <v>70</v>
      </c>
      <c r="C168">
        <v>1</v>
      </c>
      <c r="D168" s="1">
        <v>45696</v>
      </c>
    </row>
    <row r="169" spans="1:4" x14ac:dyDescent="0.35">
      <c r="A169">
        <v>168</v>
      </c>
      <c r="B169">
        <v>87</v>
      </c>
      <c r="C169">
        <v>1</v>
      </c>
      <c r="D169" s="1">
        <v>45727</v>
      </c>
    </row>
    <row r="170" spans="1:4" x14ac:dyDescent="0.35">
      <c r="A170">
        <v>169</v>
      </c>
      <c r="B170">
        <v>51</v>
      </c>
      <c r="C170">
        <v>2</v>
      </c>
      <c r="D170" s="1">
        <v>45785</v>
      </c>
    </row>
    <row r="171" spans="1:4" x14ac:dyDescent="0.35">
      <c r="A171">
        <v>170</v>
      </c>
      <c r="B171">
        <v>85</v>
      </c>
      <c r="C171">
        <v>2</v>
      </c>
      <c r="D171" s="1">
        <v>45737</v>
      </c>
    </row>
    <row r="172" spans="1:4" x14ac:dyDescent="0.35">
      <c r="A172">
        <v>171</v>
      </c>
      <c r="B172">
        <v>86</v>
      </c>
      <c r="C172">
        <v>5</v>
      </c>
      <c r="D172" s="1">
        <v>45894</v>
      </c>
    </row>
    <row r="173" spans="1:4" x14ac:dyDescent="0.35">
      <c r="A173">
        <v>172</v>
      </c>
      <c r="B173">
        <v>18</v>
      </c>
      <c r="C173">
        <v>8</v>
      </c>
      <c r="D173" s="1">
        <v>45845</v>
      </c>
    </row>
    <row r="174" spans="1:4" x14ac:dyDescent="0.35">
      <c r="A174">
        <v>173</v>
      </c>
      <c r="B174">
        <v>10</v>
      </c>
      <c r="C174">
        <v>4</v>
      </c>
      <c r="D174" s="1">
        <v>45860</v>
      </c>
    </row>
    <row r="175" spans="1:4" x14ac:dyDescent="0.35">
      <c r="A175">
        <v>174</v>
      </c>
      <c r="B175">
        <v>44</v>
      </c>
      <c r="C175">
        <v>9</v>
      </c>
      <c r="D175" s="1">
        <v>45902</v>
      </c>
    </row>
    <row r="176" spans="1:4" x14ac:dyDescent="0.35">
      <c r="A176">
        <v>175</v>
      </c>
      <c r="B176">
        <v>75</v>
      </c>
      <c r="C176">
        <v>7</v>
      </c>
      <c r="D176" s="1">
        <v>45877</v>
      </c>
    </row>
    <row r="177" spans="1:4" x14ac:dyDescent="0.35">
      <c r="A177">
        <v>176</v>
      </c>
      <c r="B177">
        <v>79</v>
      </c>
      <c r="C177">
        <v>7</v>
      </c>
      <c r="D177" s="1">
        <v>45764</v>
      </c>
    </row>
    <row r="178" spans="1:4" x14ac:dyDescent="0.35">
      <c r="A178">
        <v>177</v>
      </c>
      <c r="B178">
        <v>5</v>
      </c>
      <c r="C178">
        <v>8</v>
      </c>
      <c r="D178" s="1">
        <v>45922</v>
      </c>
    </row>
    <row r="179" spans="1:4" x14ac:dyDescent="0.35">
      <c r="A179">
        <v>178</v>
      </c>
      <c r="B179">
        <v>34</v>
      </c>
      <c r="C179">
        <v>10</v>
      </c>
      <c r="D179" s="1">
        <v>45753</v>
      </c>
    </row>
    <row r="180" spans="1:4" x14ac:dyDescent="0.35">
      <c r="A180">
        <v>179</v>
      </c>
      <c r="B180">
        <v>100</v>
      </c>
      <c r="C180">
        <v>9</v>
      </c>
      <c r="D180" s="1">
        <v>45794</v>
      </c>
    </row>
    <row r="181" spans="1:4" x14ac:dyDescent="0.35">
      <c r="A181">
        <v>180</v>
      </c>
      <c r="B181">
        <v>75</v>
      </c>
      <c r="C181">
        <v>1</v>
      </c>
      <c r="D181" s="1">
        <v>45936</v>
      </c>
    </row>
    <row r="182" spans="1:4" x14ac:dyDescent="0.35">
      <c r="A182">
        <v>181</v>
      </c>
      <c r="B182">
        <v>94</v>
      </c>
      <c r="C182">
        <v>4</v>
      </c>
      <c r="D182" s="1">
        <v>45879</v>
      </c>
    </row>
    <row r="183" spans="1:4" x14ac:dyDescent="0.35">
      <c r="A183">
        <v>182</v>
      </c>
      <c r="B183">
        <v>91</v>
      </c>
      <c r="C183">
        <v>4</v>
      </c>
      <c r="D183" s="1">
        <v>45866</v>
      </c>
    </row>
    <row r="184" spans="1:4" x14ac:dyDescent="0.35">
      <c r="A184">
        <v>183</v>
      </c>
      <c r="B184">
        <v>2</v>
      </c>
      <c r="C184">
        <v>4</v>
      </c>
      <c r="D184" s="1">
        <v>45758</v>
      </c>
    </row>
    <row r="185" spans="1:4" x14ac:dyDescent="0.35">
      <c r="A185">
        <v>184</v>
      </c>
      <c r="B185">
        <v>29</v>
      </c>
      <c r="C185">
        <v>4</v>
      </c>
      <c r="D185" s="1">
        <v>45876</v>
      </c>
    </row>
    <row r="186" spans="1:4" x14ac:dyDescent="0.35">
      <c r="A186">
        <v>185</v>
      </c>
      <c r="B186">
        <v>61</v>
      </c>
      <c r="C186">
        <v>10</v>
      </c>
      <c r="D186" s="1">
        <v>45791</v>
      </c>
    </row>
    <row r="187" spans="1:4" x14ac:dyDescent="0.35">
      <c r="A187">
        <v>186</v>
      </c>
      <c r="B187">
        <v>85</v>
      </c>
      <c r="C187">
        <v>6</v>
      </c>
      <c r="D187" s="1">
        <v>45768</v>
      </c>
    </row>
    <row r="188" spans="1:4" x14ac:dyDescent="0.35">
      <c r="A188">
        <v>187</v>
      </c>
      <c r="B188">
        <v>13</v>
      </c>
      <c r="C188">
        <v>7</v>
      </c>
      <c r="D188" s="1">
        <v>45934</v>
      </c>
    </row>
    <row r="189" spans="1:4" x14ac:dyDescent="0.35">
      <c r="A189">
        <v>188</v>
      </c>
      <c r="B189">
        <v>75</v>
      </c>
      <c r="C189">
        <v>9</v>
      </c>
      <c r="D189" s="1">
        <v>45667</v>
      </c>
    </row>
    <row r="190" spans="1:4" x14ac:dyDescent="0.35">
      <c r="A190">
        <v>189</v>
      </c>
      <c r="B190">
        <v>14</v>
      </c>
      <c r="C190">
        <v>9</v>
      </c>
      <c r="D190" s="1">
        <v>45724</v>
      </c>
    </row>
    <row r="191" spans="1:4" x14ac:dyDescent="0.35">
      <c r="A191">
        <v>190</v>
      </c>
      <c r="B191">
        <v>28</v>
      </c>
      <c r="C191">
        <v>8</v>
      </c>
      <c r="D191" s="1">
        <v>45871</v>
      </c>
    </row>
    <row r="192" spans="1:4" x14ac:dyDescent="0.35">
      <c r="A192">
        <v>191</v>
      </c>
      <c r="B192">
        <v>96</v>
      </c>
      <c r="C192">
        <v>1</v>
      </c>
      <c r="D192" s="1">
        <v>45921</v>
      </c>
    </row>
    <row r="193" spans="1:4" x14ac:dyDescent="0.35">
      <c r="A193">
        <v>192</v>
      </c>
      <c r="B193">
        <v>41</v>
      </c>
      <c r="C193">
        <v>7</v>
      </c>
      <c r="D193" s="1">
        <v>45953</v>
      </c>
    </row>
    <row r="194" spans="1:4" x14ac:dyDescent="0.35">
      <c r="A194">
        <v>193</v>
      </c>
      <c r="B194">
        <v>71</v>
      </c>
      <c r="C194">
        <v>6</v>
      </c>
      <c r="D194" s="1">
        <v>45941</v>
      </c>
    </row>
    <row r="195" spans="1:4" x14ac:dyDescent="0.35">
      <c r="A195">
        <v>194</v>
      </c>
      <c r="B195">
        <v>86</v>
      </c>
      <c r="C195">
        <v>9</v>
      </c>
      <c r="D195" s="1">
        <v>45711</v>
      </c>
    </row>
    <row r="196" spans="1:4" x14ac:dyDescent="0.35">
      <c r="A196">
        <v>195</v>
      </c>
      <c r="B196">
        <v>96</v>
      </c>
      <c r="C196">
        <v>2</v>
      </c>
      <c r="D196" s="1">
        <v>45925</v>
      </c>
    </row>
    <row r="197" spans="1:4" x14ac:dyDescent="0.35">
      <c r="A197">
        <v>196</v>
      </c>
      <c r="B197">
        <v>15</v>
      </c>
      <c r="C197">
        <v>10</v>
      </c>
      <c r="D197" s="1">
        <v>45664</v>
      </c>
    </row>
    <row r="198" spans="1:4" x14ac:dyDescent="0.35">
      <c r="A198">
        <v>197</v>
      </c>
      <c r="B198">
        <v>63</v>
      </c>
      <c r="C198">
        <v>7</v>
      </c>
      <c r="D198" s="1">
        <v>45891</v>
      </c>
    </row>
    <row r="199" spans="1:4" x14ac:dyDescent="0.35">
      <c r="A199">
        <v>198</v>
      </c>
      <c r="B199">
        <v>54</v>
      </c>
      <c r="C199">
        <v>2</v>
      </c>
      <c r="D199" s="1">
        <v>46004</v>
      </c>
    </row>
    <row r="200" spans="1:4" x14ac:dyDescent="0.35">
      <c r="A200">
        <v>199</v>
      </c>
      <c r="B200">
        <v>45</v>
      </c>
      <c r="C200">
        <v>1</v>
      </c>
      <c r="D200" s="1">
        <v>45811</v>
      </c>
    </row>
    <row r="201" spans="1:4" x14ac:dyDescent="0.35">
      <c r="A201">
        <v>200</v>
      </c>
      <c r="B201">
        <v>16</v>
      </c>
      <c r="C201">
        <v>4</v>
      </c>
      <c r="D201" s="1">
        <v>45995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C43E-B077-4AF7-9102-A42D18170577}">
  <dimension ref="A1:E51"/>
  <sheetViews>
    <sheetView workbookViewId="0">
      <selection activeCell="C1" sqref="C1:C1048576"/>
    </sheetView>
  </sheetViews>
  <sheetFormatPr defaultRowHeight="14.5" x14ac:dyDescent="0.35"/>
  <cols>
    <col min="1" max="1" width="11.26953125" customWidth="1"/>
    <col min="2" max="2" width="16.54296875" customWidth="1"/>
  </cols>
  <sheetData>
    <row r="1" spans="1:5" x14ac:dyDescent="0.35">
      <c r="A1" t="s">
        <v>12</v>
      </c>
      <c r="B1" t="s">
        <v>4</v>
      </c>
      <c r="C1" t="s">
        <v>13</v>
      </c>
      <c r="D1" t="s">
        <v>14</v>
      </c>
      <c r="E1" t="s">
        <v>11</v>
      </c>
    </row>
    <row r="2" spans="1:5" x14ac:dyDescent="0.35">
      <c r="A2">
        <v>1</v>
      </c>
      <c r="B2" t="s">
        <v>5</v>
      </c>
      <c r="C2" t="s">
        <v>63</v>
      </c>
      <c r="D2">
        <v>499</v>
      </c>
      <c r="E2">
        <v>250</v>
      </c>
    </row>
    <row r="3" spans="1:5" x14ac:dyDescent="0.35">
      <c r="A3">
        <v>2</v>
      </c>
      <c r="B3" t="s">
        <v>15</v>
      </c>
      <c r="C3" t="s">
        <v>63</v>
      </c>
      <c r="D3">
        <v>999</v>
      </c>
      <c r="E3">
        <v>600</v>
      </c>
    </row>
    <row r="4" spans="1:5" x14ac:dyDescent="0.35">
      <c r="A4">
        <v>3</v>
      </c>
      <c r="B4" t="s">
        <v>6</v>
      </c>
      <c r="C4" t="s">
        <v>63</v>
      </c>
      <c r="D4">
        <v>799</v>
      </c>
      <c r="E4">
        <v>450</v>
      </c>
    </row>
    <row r="5" spans="1:5" x14ac:dyDescent="0.35">
      <c r="A5">
        <v>4</v>
      </c>
      <c r="B5" t="s">
        <v>16</v>
      </c>
      <c r="C5" t="s">
        <v>63</v>
      </c>
      <c r="D5">
        <v>1199</v>
      </c>
      <c r="E5">
        <v>700</v>
      </c>
    </row>
    <row r="6" spans="1:5" x14ac:dyDescent="0.35">
      <c r="A6">
        <v>5</v>
      </c>
      <c r="B6" t="s">
        <v>17</v>
      </c>
      <c r="C6" t="s">
        <v>63</v>
      </c>
      <c r="D6">
        <v>399</v>
      </c>
      <c r="E6">
        <v>200</v>
      </c>
    </row>
    <row r="7" spans="1:5" x14ac:dyDescent="0.35">
      <c r="A7">
        <v>6</v>
      </c>
      <c r="B7" t="s">
        <v>18</v>
      </c>
      <c r="C7" t="s">
        <v>63</v>
      </c>
      <c r="D7">
        <v>699</v>
      </c>
      <c r="E7">
        <v>350</v>
      </c>
    </row>
    <row r="8" spans="1:5" x14ac:dyDescent="0.35">
      <c r="A8">
        <v>7</v>
      </c>
      <c r="B8" t="s">
        <v>19</v>
      </c>
      <c r="C8" t="s">
        <v>63</v>
      </c>
      <c r="D8">
        <v>1499</v>
      </c>
      <c r="E8">
        <v>900</v>
      </c>
    </row>
    <row r="9" spans="1:5" x14ac:dyDescent="0.35">
      <c r="A9">
        <v>8</v>
      </c>
      <c r="B9" t="s">
        <v>20</v>
      </c>
      <c r="C9" t="s">
        <v>63</v>
      </c>
      <c r="D9">
        <v>599</v>
      </c>
      <c r="E9">
        <v>300</v>
      </c>
    </row>
    <row r="10" spans="1:5" x14ac:dyDescent="0.35">
      <c r="A10">
        <v>9</v>
      </c>
      <c r="B10" t="s">
        <v>21</v>
      </c>
      <c r="C10" t="s">
        <v>63</v>
      </c>
      <c r="D10">
        <v>899</v>
      </c>
      <c r="E10">
        <v>500</v>
      </c>
    </row>
    <row r="11" spans="1:5" x14ac:dyDescent="0.35">
      <c r="A11">
        <v>10</v>
      </c>
      <c r="B11" t="s">
        <v>22</v>
      </c>
      <c r="C11" t="s">
        <v>63</v>
      </c>
      <c r="D11">
        <v>1599</v>
      </c>
      <c r="E11">
        <v>950</v>
      </c>
    </row>
    <row r="12" spans="1:5" x14ac:dyDescent="0.35">
      <c r="A12">
        <v>11</v>
      </c>
      <c r="B12" t="s">
        <v>23</v>
      </c>
      <c r="C12" t="s">
        <v>64</v>
      </c>
      <c r="D12">
        <v>799</v>
      </c>
      <c r="E12">
        <v>400</v>
      </c>
    </row>
    <row r="13" spans="1:5" x14ac:dyDescent="0.35">
      <c r="A13">
        <v>12</v>
      </c>
      <c r="B13" t="s">
        <v>24</v>
      </c>
      <c r="C13" t="s">
        <v>64</v>
      </c>
      <c r="D13">
        <v>1199</v>
      </c>
      <c r="E13">
        <v>700</v>
      </c>
    </row>
    <row r="14" spans="1:5" x14ac:dyDescent="0.35">
      <c r="A14">
        <v>13</v>
      </c>
      <c r="B14" t="s">
        <v>25</v>
      </c>
      <c r="C14" t="s">
        <v>64</v>
      </c>
      <c r="D14">
        <v>499</v>
      </c>
      <c r="E14">
        <v>250</v>
      </c>
    </row>
    <row r="15" spans="1:5" x14ac:dyDescent="0.35">
      <c r="A15">
        <v>14</v>
      </c>
      <c r="B15" t="s">
        <v>26</v>
      </c>
      <c r="C15" t="s">
        <v>64</v>
      </c>
      <c r="D15">
        <v>699</v>
      </c>
      <c r="E15">
        <v>350</v>
      </c>
    </row>
    <row r="16" spans="1:5" x14ac:dyDescent="0.35">
      <c r="A16">
        <v>15</v>
      </c>
      <c r="B16" t="s">
        <v>27</v>
      </c>
      <c r="C16" t="s">
        <v>64</v>
      </c>
      <c r="D16">
        <v>1499</v>
      </c>
      <c r="E16">
        <v>900</v>
      </c>
    </row>
    <row r="17" spans="1:5" x14ac:dyDescent="0.35">
      <c r="A17">
        <v>16</v>
      </c>
      <c r="B17" t="s">
        <v>28</v>
      </c>
      <c r="C17" t="s">
        <v>64</v>
      </c>
      <c r="D17">
        <v>599</v>
      </c>
      <c r="E17">
        <v>300</v>
      </c>
    </row>
    <row r="18" spans="1:5" x14ac:dyDescent="0.35">
      <c r="A18">
        <v>17</v>
      </c>
      <c r="B18" t="s">
        <v>29</v>
      </c>
      <c r="C18" t="s">
        <v>64</v>
      </c>
      <c r="D18">
        <v>399</v>
      </c>
      <c r="E18">
        <v>200</v>
      </c>
    </row>
    <row r="19" spans="1:5" x14ac:dyDescent="0.35">
      <c r="A19">
        <v>18</v>
      </c>
      <c r="B19" t="s">
        <v>30</v>
      </c>
      <c r="C19" t="s">
        <v>64</v>
      </c>
      <c r="D19">
        <v>799</v>
      </c>
      <c r="E19">
        <v>450</v>
      </c>
    </row>
    <row r="20" spans="1:5" x14ac:dyDescent="0.35">
      <c r="A20">
        <v>19</v>
      </c>
      <c r="B20" t="s">
        <v>31</v>
      </c>
      <c r="C20" t="s">
        <v>64</v>
      </c>
      <c r="D20">
        <v>1299</v>
      </c>
      <c r="E20">
        <v>800</v>
      </c>
    </row>
    <row r="21" spans="1:5" x14ac:dyDescent="0.35">
      <c r="A21">
        <v>20</v>
      </c>
      <c r="B21" t="s">
        <v>32</v>
      </c>
      <c r="C21" t="s">
        <v>64</v>
      </c>
      <c r="D21">
        <v>1399</v>
      </c>
      <c r="E21">
        <v>850</v>
      </c>
    </row>
    <row r="22" spans="1:5" x14ac:dyDescent="0.35">
      <c r="A22">
        <v>21</v>
      </c>
      <c r="B22" t="s">
        <v>33</v>
      </c>
      <c r="C22" t="s">
        <v>65</v>
      </c>
      <c r="D22">
        <v>299</v>
      </c>
      <c r="E22">
        <v>150</v>
      </c>
    </row>
    <row r="23" spans="1:5" x14ac:dyDescent="0.35">
      <c r="A23">
        <v>22</v>
      </c>
      <c r="B23" t="s">
        <v>34</v>
      </c>
      <c r="C23" t="s">
        <v>65</v>
      </c>
      <c r="D23">
        <v>349</v>
      </c>
      <c r="E23">
        <v>180</v>
      </c>
    </row>
    <row r="24" spans="1:5" x14ac:dyDescent="0.35">
      <c r="A24">
        <v>23</v>
      </c>
      <c r="B24" t="s">
        <v>35</v>
      </c>
      <c r="C24" t="s">
        <v>65</v>
      </c>
      <c r="D24">
        <v>599</v>
      </c>
      <c r="E24">
        <v>300</v>
      </c>
    </row>
    <row r="25" spans="1:5" x14ac:dyDescent="0.35">
      <c r="A25">
        <v>24</v>
      </c>
      <c r="B25" t="s">
        <v>36</v>
      </c>
      <c r="C25" t="s">
        <v>65</v>
      </c>
      <c r="D25">
        <v>699</v>
      </c>
      <c r="E25">
        <v>350</v>
      </c>
    </row>
    <row r="26" spans="1:5" x14ac:dyDescent="0.35">
      <c r="A26">
        <v>25</v>
      </c>
      <c r="B26" t="s">
        <v>37</v>
      </c>
      <c r="C26" t="s">
        <v>65</v>
      </c>
      <c r="D26">
        <v>799</v>
      </c>
      <c r="E26">
        <v>400</v>
      </c>
    </row>
    <row r="27" spans="1:5" x14ac:dyDescent="0.35">
      <c r="A27">
        <v>26</v>
      </c>
      <c r="B27" t="s">
        <v>38</v>
      </c>
      <c r="C27" t="s">
        <v>65</v>
      </c>
      <c r="D27">
        <v>999</v>
      </c>
      <c r="E27">
        <v>600</v>
      </c>
    </row>
    <row r="28" spans="1:5" x14ac:dyDescent="0.35">
      <c r="A28">
        <v>27</v>
      </c>
      <c r="B28" t="s">
        <v>39</v>
      </c>
      <c r="C28" t="s">
        <v>65</v>
      </c>
      <c r="D28">
        <v>499</v>
      </c>
      <c r="E28">
        <v>250</v>
      </c>
    </row>
    <row r="29" spans="1:5" x14ac:dyDescent="0.35">
      <c r="A29">
        <v>28</v>
      </c>
      <c r="B29" t="s">
        <v>40</v>
      </c>
      <c r="C29" t="s">
        <v>65</v>
      </c>
      <c r="D29">
        <v>399</v>
      </c>
      <c r="E29">
        <v>200</v>
      </c>
    </row>
    <row r="30" spans="1:5" x14ac:dyDescent="0.35">
      <c r="A30">
        <v>29</v>
      </c>
      <c r="B30" t="s">
        <v>41</v>
      </c>
      <c r="C30" t="s">
        <v>65</v>
      </c>
      <c r="D30">
        <v>449</v>
      </c>
      <c r="E30">
        <v>220</v>
      </c>
    </row>
    <row r="31" spans="1:5" x14ac:dyDescent="0.35">
      <c r="A31">
        <v>30</v>
      </c>
      <c r="B31" t="s">
        <v>42</v>
      </c>
      <c r="C31" t="s">
        <v>65</v>
      </c>
      <c r="D31">
        <v>699</v>
      </c>
      <c r="E31">
        <v>350</v>
      </c>
    </row>
    <row r="32" spans="1:5" x14ac:dyDescent="0.35">
      <c r="A32">
        <v>31</v>
      </c>
      <c r="B32" t="s">
        <v>43</v>
      </c>
      <c r="C32" t="s">
        <v>63</v>
      </c>
      <c r="D32">
        <v>899</v>
      </c>
      <c r="E32">
        <v>500</v>
      </c>
    </row>
    <row r="33" spans="1:5" x14ac:dyDescent="0.35">
      <c r="A33">
        <v>32</v>
      </c>
      <c r="B33" t="s">
        <v>44</v>
      </c>
      <c r="C33" t="s">
        <v>63</v>
      </c>
      <c r="D33">
        <v>749</v>
      </c>
      <c r="E33">
        <v>400</v>
      </c>
    </row>
    <row r="34" spans="1:5" x14ac:dyDescent="0.35">
      <c r="A34">
        <v>33</v>
      </c>
      <c r="B34" t="s">
        <v>45</v>
      </c>
      <c r="C34" t="s">
        <v>63</v>
      </c>
      <c r="D34">
        <v>1099</v>
      </c>
      <c r="E34">
        <v>650</v>
      </c>
    </row>
    <row r="35" spans="1:5" x14ac:dyDescent="0.35">
      <c r="A35">
        <v>34</v>
      </c>
      <c r="B35" t="s">
        <v>46</v>
      </c>
      <c r="C35" t="s">
        <v>63</v>
      </c>
      <c r="D35">
        <v>549</v>
      </c>
      <c r="E35">
        <v>280</v>
      </c>
    </row>
    <row r="36" spans="1:5" x14ac:dyDescent="0.35">
      <c r="A36">
        <v>35</v>
      </c>
      <c r="B36" t="s">
        <v>47</v>
      </c>
      <c r="C36" t="s">
        <v>63</v>
      </c>
      <c r="D36">
        <v>1999</v>
      </c>
      <c r="E36">
        <v>1200</v>
      </c>
    </row>
    <row r="37" spans="1:5" x14ac:dyDescent="0.35">
      <c r="A37">
        <v>36</v>
      </c>
      <c r="B37" t="s">
        <v>48</v>
      </c>
      <c r="C37" t="s">
        <v>64</v>
      </c>
      <c r="D37">
        <v>899</v>
      </c>
      <c r="E37">
        <v>500</v>
      </c>
    </row>
    <row r="38" spans="1:5" x14ac:dyDescent="0.35">
      <c r="A38">
        <v>37</v>
      </c>
      <c r="B38" t="s">
        <v>49</v>
      </c>
      <c r="C38" t="s">
        <v>64</v>
      </c>
      <c r="D38">
        <v>1599</v>
      </c>
      <c r="E38">
        <v>1000</v>
      </c>
    </row>
    <row r="39" spans="1:5" x14ac:dyDescent="0.35">
      <c r="A39">
        <v>38</v>
      </c>
      <c r="B39" t="s">
        <v>50</v>
      </c>
      <c r="C39" t="s">
        <v>64</v>
      </c>
      <c r="D39">
        <v>599</v>
      </c>
      <c r="E39">
        <v>300</v>
      </c>
    </row>
    <row r="40" spans="1:5" x14ac:dyDescent="0.35">
      <c r="A40">
        <v>39</v>
      </c>
      <c r="B40" t="s">
        <v>51</v>
      </c>
      <c r="C40" t="s">
        <v>64</v>
      </c>
      <c r="D40">
        <v>899</v>
      </c>
      <c r="E40">
        <v>500</v>
      </c>
    </row>
    <row r="41" spans="1:5" x14ac:dyDescent="0.35">
      <c r="A41">
        <v>40</v>
      </c>
      <c r="B41" t="s">
        <v>52</v>
      </c>
      <c r="C41" t="s">
        <v>64</v>
      </c>
      <c r="D41">
        <v>1999</v>
      </c>
      <c r="E41">
        <v>1300</v>
      </c>
    </row>
    <row r="42" spans="1:5" x14ac:dyDescent="0.35">
      <c r="A42">
        <v>41</v>
      </c>
      <c r="B42" t="s">
        <v>53</v>
      </c>
      <c r="C42" t="s">
        <v>65</v>
      </c>
      <c r="D42">
        <v>899</v>
      </c>
      <c r="E42">
        <v>500</v>
      </c>
    </row>
    <row r="43" spans="1:5" x14ac:dyDescent="0.35">
      <c r="A43">
        <v>42</v>
      </c>
      <c r="B43" t="s">
        <v>54</v>
      </c>
      <c r="C43" t="s">
        <v>65</v>
      </c>
      <c r="D43">
        <v>499</v>
      </c>
      <c r="E43">
        <v>250</v>
      </c>
    </row>
    <row r="44" spans="1:5" x14ac:dyDescent="0.35">
      <c r="A44">
        <v>43</v>
      </c>
      <c r="B44" t="s">
        <v>55</v>
      </c>
      <c r="C44" t="s">
        <v>65</v>
      </c>
      <c r="D44">
        <v>799</v>
      </c>
      <c r="E44">
        <v>400</v>
      </c>
    </row>
    <row r="45" spans="1:5" x14ac:dyDescent="0.35">
      <c r="A45">
        <v>44</v>
      </c>
      <c r="B45" t="s">
        <v>56</v>
      </c>
      <c r="C45" t="s">
        <v>65</v>
      </c>
      <c r="D45">
        <v>999</v>
      </c>
      <c r="E45">
        <v>600</v>
      </c>
    </row>
    <row r="46" spans="1:5" x14ac:dyDescent="0.35">
      <c r="A46">
        <v>45</v>
      </c>
      <c r="B46" t="s">
        <v>57</v>
      </c>
      <c r="C46" t="s">
        <v>65</v>
      </c>
      <c r="D46">
        <v>699</v>
      </c>
      <c r="E46">
        <v>350</v>
      </c>
    </row>
    <row r="47" spans="1:5" x14ac:dyDescent="0.35">
      <c r="A47">
        <v>46</v>
      </c>
      <c r="B47" t="s">
        <v>58</v>
      </c>
      <c r="C47" t="s">
        <v>63</v>
      </c>
      <c r="D47">
        <v>299</v>
      </c>
      <c r="E47">
        <v>150</v>
      </c>
    </row>
    <row r="48" spans="1:5" x14ac:dyDescent="0.35">
      <c r="A48">
        <v>47</v>
      </c>
      <c r="B48" t="s">
        <v>59</v>
      </c>
      <c r="C48" t="s">
        <v>63</v>
      </c>
      <c r="D48">
        <v>399</v>
      </c>
      <c r="E48">
        <v>200</v>
      </c>
    </row>
    <row r="49" spans="1:5" x14ac:dyDescent="0.35">
      <c r="A49">
        <v>48</v>
      </c>
      <c r="B49" t="s">
        <v>60</v>
      </c>
      <c r="C49" t="s">
        <v>64</v>
      </c>
      <c r="D49">
        <v>349</v>
      </c>
      <c r="E49">
        <v>180</v>
      </c>
    </row>
    <row r="50" spans="1:5" x14ac:dyDescent="0.35">
      <c r="A50">
        <v>49</v>
      </c>
      <c r="B50" t="s">
        <v>61</v>
      </c>
      <c r="C50" t="s">
        <v>64</v>
      </c>
      <c r="D50">
        <v>1299</v>
      </c>
      <c r="E50">
        <v>800</v>
      </c>
    </row>
    <row r="51" spans="1:5" x14ac:dyDescent="0.35">
      <c r="A51">
        <v>50</v>
      </c>
      <c r="B51" t="s">
        <v>62</v>
      </c>
      <c r="C51" t="s">
        <v>65</v>
      </c>
      <c r="D51">
        <v>999</v>
      </c>
      <c r="E51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64B9-ECA7-4242-ADF6-8A0E743DD2B3}">
  <dimension ref="A1:J401"/>
  <sheetViews>
    <sheetView workbookViewId="0">
      <selection activeCell="P8" sqref="P8"/>
    </sheetView>
  </sheetViews>
  <sheetFormatPr defaultRowHeight="14.5" x14ac:dyDescent="0.35"/>
  <cols>
    <col min="2" max="2" width="9.90625" bestFit="1" customWidth="1"/>
    <col min="3" max="3" width="8.453125" customWidth="1"/>
    <col min="7" max="7" width="10.81640625" customWidth="1"/>
    <col min="9" max="9" width="13.90625" customWidth="1"/>
    <col min="10" max="10" width="13.7265625" customWidth="1"/>
    <col min="13" max="13" width="12.26953125" customWidth="1"/>
    <col min="14" max="14" width="14.453125" customWidth="1"/>
  </cols>
  <sheetData>
    <row r="1" spans="1:10" x14ac:dyDescent="0.35">
      <c r="A1" t="s">
        <v>7</v>
      </c>
      <c r="B1" t="s">
        <v>3</v>
      </c>
      <c r="C1" t="s">
        <v>10</v>
      </c>
      <c r="D1" t="s">
        <v>82</v>
      </c>
      <c r="E1" t="s">
        <v>83</v>
      </c>
      <c r="F1" t="s">
        <v>13</v>
      </c>
      <c r="G1" t="s">
        <v>9</v>
      </c>
      <c r="I1" s="2" t="s">
        <v>85</v>
      </c>
      <c r="J1" t="s">
        <v>84</v>
      </c>
    </row>
    <row r="2" spans="1:10" x14ac:dyDescent="0.35">
      <c r="A2">
        <v>28</v>
      </c>
      <c r="B2">
        <v>23</v>
      </c>
      <c r="C2">
        <v>4</v>
      </c>
      <c r="D2">
        <f>VLOOKUP(B2,PRODUCTS!A:E,4,FALSE)*C2</f>
        <v>2396</v>
      </c>
      <c r="E2">
        <f>(VLOOKUP(B2,PRODUCTS!A:E,4,FALSE) - VLOOKUP(B2,PRODUCTS!A:E,5,FALSE)) * C2</f>
        <v>1196</v>
      </c>
      <c r="F2" t="s">
        <v>63</v>
      </c>
      <c r="G2" s="1">
        <v>45743</v>
      </c>
      <c r="I2" s="3" t="s">
        <v>65</v>
      </c>
      <c r="J2">
        <v>45005</v>
      </c>
    </row>
    <row r="3" spans="1:10" x14ac:dyDescent="0.35">
      <c r="A3">
        <v>37</v>
      </c>
      <c r="B3">
        <v>2</v>
      </c>
      <c r="C3">
        <v>2</v>
      </c>
      <c r="D3">
        <f>VLOOKUP(B3,PRODUCTS!A:E,4,FALSE)*C3</f>
        <v>1998</v>
      </c>
      <c r="E3">
        <f>(VLOOKUP(B3,PRODUCTS!A:E,4,FALSE) - VLOOKUP(B3,PRODUCTS!A:E,5,FALSE)) * C3</f>
        <v>798</v>
      </c>
      <c r="F3" t="s">
        <v>63</v>
      </c>
      <c r="G3" s="1">
        <v>45835</v>
      </c>
      <c r="I3" s="3" t="s">
        <v>63</v>
      </c>
      <c r="J3">
        <v>31153</v>
      </c>
    </row>
    <row r="4" spans="1:10" x14ac:dyDescent="0.35">
      <c r="A4">
        <v>154</v>
      </c>
      <c r="B4">
        <v>9</v>
      </c>
      <c r="C4">
        <v>2</v>
      </c>
      <c r="D4">
        <f>VLOOKUP(B4,PRODUCTS!A:E,4,FALSE)*C4</f>
        <v>1798</v>
      </c>
      <c r="E4">
        <f>(VLOOKUP(B4,PRODUCTS!A:E,4,FALSE) - VLOOKUP(B4,PRODUCTS!A:E,5,FALSE)) * C4</f>
        <v>798</v>
      </c>
      <c r="F4" t="s">
        <v>63</v>
      </c>
      <c r="G4" s="1">
        <v>45957</v>
      </c>
      <c r="I4" s="3" t="s">
        <v>64</v>
      </c>
      <c r="J4">
        <v>35750</v>
      </c>
    </row>
    <row r="5" spans="1:10" x14ac:dyDescent="0.35">
      <c r="A5">
        <v>179</v>
      </c>
      <c r="B5">
        <v>21</v>
      </c>
      <c r="C5">
        <v>1</v>
      </c>
      <c r="D5">
        <f>VLOOKUP(B5,PRODUCTS!A:E,4,FALSE)*C5</f>
        <v>299</v>
      </c>
      <c r="E5">
        <f>(VLOOKUP(B5,PRODUCTS!A:E,4,FALSE) - VLOOKUP(B5,PRODUCTS!A:E,5,FALSE)) * C5</f>
        <v>149</v>
      </c>
      <c r="F5" t="s">
        <v>63</v>
      </c>
      <c r="G5" s="1">
        <v>45731</v>
      </c>
      <c r="I5" s="3" t="s">
        <v>86</v>
      </c>
      <c r="J5">
        <v>111908</v>
      </c>
    </row>
    <row r="6" spans="1:10" x14ac:dyDescent="0.35">
      <c r="A6">
        <v>4</v>
      </c>
      <c r="B6">
        <v>23</v>
      </c>
      <c r="C6">
        <v>3</v>
      </c>
      <c r="D6">
        <f>VLOOKUP(B6,PRODUCTS!A:E,4,FALSE)*C6</f>
        <v>1797</v>
      </c>
      <c r="E6">
        <f>(VLOOKUP(B6,PRODUCTS!A:E,4,FALSE) - VLOOKUP(B6,PRODUCTS!A:E,5,FALSE)) * C6</f>
        <v>897</v>
      </c>
      <c r="F6" t="s">
        <v>63</v>
      </c>
      <c r="G6" s="1">
        <v>45934</v>
      </c>
    </row>
    <row r="7" spans="1:10" x14ac:dyDescent="0.35">
      <c r="A7">
        <v>105</v>
      </c>
      <c r="B7">
        <v>8</v>
      </c>
      <c r="C7">
        <v>3</v>
      </c>
      <c r="D7">
        <f>VLOOKUP(B7,PRODUCTS!A:E,4,FALSE)*C7</f>
        <v>1797</v>
      </c>
      <c r="E7">
        <f>(VLOOKUP(B7,PRODUCTS!A:E,4,FALSE) - VLOOKUP(B7,PRODUCTS!A:E,5,FALSE)) * C7</f>
        <v>897</v>
      </c>
      <c r="F7" t="s">
        <v>63</v>
      </c>
      <c r="G7" s="1">
        <v>45981</v>
      </c>
    </row>
    <row r="8" spans="1:10" x14ac:dyDescent="0.35">
      <c r="A8">
        <v>125</v>
      </c>
      <c r="B8">
        <v>25</v>
      </c>
      <c r="C8">
        <v>4</v>
      </c>
      <c r="D8">
        <f>VLOOKUP(B8,PRODUCTS!A:E,4,FALSE)*C8</f>
        <v>3196</v>
      </c>
      <c r="E8">
        <f>(VLOOKUP(B8,PRODUCTS!A:E,4,FALSE) - VLOOKUP(B8,PRODUCTS!A:E,5,FALSE)) * C8</f>
        <v>1596</v>
      </c>
      <c r="F8" t="s">
        <v>63</v>
      </c>
      <c r="G8" s="1">
        <v>45815</v>
      </c>
    </row>
    <row r="9" spans="1:10" x14ac:dyDescent="0.35">
      <c r="A9">
        <v>165</v>
      </c>
      <c r="B9">
        <v>4</v>
      </c>
      <c r="C9">
        <v>3</v>
      </c>
      <c r="D9">
        <f>VLOOKUP(B9,PRODUCTS!A:E,4,FALSE)*C9</f>
        <v>3597</v>
      </c>
      <c r="E9">
        <f>(VLOOKUP(B9,PRODUCTS!A:E,4,FALSE) - VLOOKUP(B9,PRODUCTS!A:E,5,FALSE)) * C9</f>
        <v>1497</v>
      </c>
      <c r="F9" t="s">
        <v>63</v>
      </c>
      <c r="G9" s="1">
        <v>45927</v>
      </c>
    </row>
    <row r="10" spans="1:10" x14ac:dyDescent="0.35">
      <c r="A10">
        <v>108</v>
      </c>
      <c r="B10">
        <v>17</v>
      </c>
      <c r="C10">
        <v>1</v>
      </c>
      <c r="D10">
        <f>VLOOKUP(B10,PRODUCTS!A:E,4,FALSE)*C10</f>
        <v>399</v>
      </c>
      <c r="E10">
        <f>(VLOOKUP(B10,PRODUCTS!A:E,4,FALSE) - VLOOKUP(B10,PRODUCTS!A:E,5,FALSE)) * C10</f>
        <v>199</v>
      </c>
      <c r="F10" t="s">
        <v>63</v>
      </c>
      <c r="G10" s="1">
        <v>45740</v>
      </c>
    </row>
    <row r="11" spans="1:10" x14ac:dyDescent="0.35">
      <c r="A11">
        <v>189</v>
      </c>
      <c r="B11">
        <v>2</v>
      </c>
      <c r="C11">
        <v>3</v>
      </c>
      <c r="D11">
        <f>VLOOKUP(B11,PRODUCTS!A:E,4,FALSE)*C11</f>
        <v>2997</v>
      </c>
      <c r="E11">
        <f>(VLOOKUP(B11,PRODUCTS!A:E,4,FALSE) - VLOOKUP(B11,PRODUCTS!A:E,5,FALSE)) * C11</f>
        <v>1197</v>
      </c>
      <c r="F11" t="s">
        <v>63</v>
      </c>
      <c r="G11" s="1">
        <v>45815</v>
      </c>
    </row>
    <row r="12" spans="1:10" x14ac:dyDescent="0.35">
      <c r="A12">
        <v>179</v>
      </c>
      <c r="B12">
        <v>17</v>
      </c>
      <c r="C12">
        <v>1</v>
      </c>
      <c r="D12">
        <f>VLOOKUP(B12,PRODUCTS!A:E,4,FALSE)*C12</f>
        <v>399</v>
      </c>
      <c r="E12">
        <f>(VLOOKUP(B12,PRODUCTS!A:E,4,FALSE) - VLOOKUP(B12,PRODUCTS!A:E,5,FALSE)) * C12</f>
        <v>199</v>
      </c>
      <c r="F12" t="s">
        <v>64</v>
      </c>
      <c r="G12" s="1">
        <v>45878</v>
      </c>
    </row>
    <row r="13" spans="1:10" x14ac:dyDescent="0.35">
      <c r="A13">
        <v>72</v>
      </c>
      <c r="B13">
        <v>18</v>
      </c>
      <c r="C13">
        <v>1</v>
      </c>
      <c r="D13">
        <f>VLOOKUP(B13,PRODUCTS!A:E,4,FALSE)*C13</f>
        <v>799</v>
      </c>
      <c r="E13">
        <f>(VLOOKUP(B13,PRODUCTS!A:E,4,FALSE) - VLOOKUP(B13,PRODUCTS!A:E,5,FALSE)) * C13</f>
        <v>349</v>
      </c>
      <c r="F13" t="s">
        <v>64</v>
      </c>
      <c r="G13" s="1">
        <v>45922</v>
      </c>
    </row>
    <row r="14" spans="1:10" x14ac:dyDescent="0.35">
      <c r="A14">
        <v>137</v>
      </c>
      <c r="B14">
        <v>13</v>
      </c>
      <c r="C14">
        <v>5</v>
      </c>
      <c r="D14">
        <f>VLOOKUP(B14,PRODUCTS!A:E,4,FALSE)*C14</f>
        <v>2495</v>
      </c>
      <c r="E14">
        <f>(VLOOKUP(B14,PRODUCTS!A:E,4,FALSE) - VLOOKUP(B14,PRODUCTS!A:E,5,FALSE)) * C14</f>
        <v>1245</v>
      </c>
      <c r="F14" t="s">
        <v>64</v>
      </c>
      <c r="G14" s="1">
        <v>45728</v>
      </c>
    </row>
    <row r="15" spans="1:10" x14ac:dyDescent="0.35">
      <c r="A15">
        <v>21</v>
      </c>
      <c r="B15">
        <v>1</v>
      </c>
      <c r="C15">
        <v>3</v>
      </c>
      <c r="D15">
        <f>VLOOKUP(B15,PRODUCTS!A:E,4,FALSE)*C15</f>
        <v>1497</v>
      </c>
      <c r="E15">
        <f>(VLOOKUP(B15,PRODUCTS!A:E,4,FALSE) - VLOOKUP(B15,PRODUCTS!A:E,5,FALSE)) * C15</f>
        <v>747</v>
      </c>
      <c r="F15" t="s">
        <v>64</v>
      </c>
      <c r="G15" s="1">
        <v>45963</v>
      </c>
    </row>
    <row r="16" spans="1:10" x14ac:dyDescent="0.35">
      <c r="A16">
        <v>116</v>
      </c>
      <c r="B16">
        <v>22</v>
      </c>
      <c r="C16">
        <v>4</v>
      </c>
      <c r="D16">
        <f>VLOOKUP(B16,PRODUCTS!A:E,4,FALSE)*C16</f>
        <v>1396</v>
      </c>
      <c r="E16">
        <f>(VLOOKUP(B16,PRODUCTS!A:E,4,FALSE) - VLOOKUP(B16,PRODUCTS!A:E,5,FALSE)) * C16</f>
        <v>676</v>
      </c>
      <c r="F16" t="s">
        <v>64</v>
      </c>
      <c r="G16" s="1">
        <v>45774</v>
      </c>
      <c r="I16" s="2" t="s">
        <v>85</v>
      </c>
      <c r="J16" t="s">
        <v>84</v>
      </c>
    </row>
    <row r="17" spans="1:10" x14ac:dyDescent="0.35">
      <c r="A17">
        <v>114</v>
      </c>
      <c r="B17">
        <v>1</v>
      </c>
      <c r="C17">
        <v>5</v>
      </c>
      <c r="D17">
        <f>VLOOKUP(B17,PRODUCTS!A:E,4,FALSE)*C17</f>
        <v>2495</v>
      </c>
      <c r="E17">
        <f>(VLOOKUP(B17,PRODUCTS!A:E,4,FALSE) - VLOOKUP(B17,PRODUCTS!A:E,5,FALSE)) * C17</f>
        <v>1245</v>
      </c>
      <c r="F17" t="s">
        <v>64</v>
      </c>
      <c r="G17" s="1">
        <v>45712</v>
      </c>
      <c r="I17" s="3" t="s">
        <v>87</v>
      </c>
      <c r="J17">
        <v>45347</v>
      </c>
    </row>
    <row r="18" spans="1:10" x14ac:dyDescent="0.35">
      <c r="A18">
        <v>36</v>
      </c>
      <c r="B18">
        <v>1</v>
      </c>
      <c r="C18">
        <v>5</v>
      </c>
      <c r="D18">
        <f>VLOOKUP(B18,PRODUCTS!A:E,4,FALSE)*C18</f>
        <v>2495</v>
      </c>
      <c r="E18">
        <f>(VLOOKUP(B18,PRODUCTS!A:E,4,FALSE) - VLOOKUP(B18,PRODUCTS!A:E,5,FALSE)) * C18</f>
        <v>1245</v>
      </c>
      <c r="F18" t="s">
        <v>64</v>
      </c>
      <c r="G18" s="1">
        <v>45781</v>
      </c>
      <c r="I18" s="3" t="s">
        <v>88</v>
      </c>
      <c r="J18">
        <v>35706</v>
      </c>
    </row>
    <row r="19" spans="1:10" x14ac:dyDescent="0.35">
      <c r="A19">
        <v>25</v>
      </c>
      <c r="B19">
        <v>16</v>
      </c>
      <c r="C19">
        <v>2</v>
      </c>
      <c r="D19">
        <f>VLOOKUP(B19,PRODUCTS!A:E,4,FALSE)*C19</f>
        <v>1198</v>
      </c>
      <c r="E19">
        <f>(VLOOKUP(B19,PRODUCTS!A:E,4,FALSE) - VLOOKUP(B19,PRODUCTS!A:E,5,FALSE)) * C19</f>
        <v>598</v>
      </c>
      <c r="F19" t="s">
        <v>64</v>
      </c>
      <c r="G19" s="1">
        <v>45943</v>
      </c>
      <c r="I19" s="3" t="s">
        <v>89</v>
      </c>
      <c r="J19">
        <v>49084</v>
      </c>
    </row>
    <row r="20" spans="1:10" x14ac:dyDescent="0.35">
      <c r="A20">
        <v>96</v>
      </c>
      <c r="B20">
        <v>2</v>
      </c>
      <c r="C20">
        <v>4</v>
      </c>
      <c r="D20">
        <f>VLOOKUP(B20,PRODUCTS!A:E,4,FALSE)*C20</f>
        <v>3996</v>
      </c>
      <c r="E20">
        <f>(VLOOKUP(B20,PRODUCTS!A:E,4,FALSE) - VLOOKUP(B20,PRODUCTS!A:E,5,FALSE)) * C20</f>
        <v>1596</v>
      </c>
      <c r="F20" t="s">
        <v>64</v>
      </c>
      <c r="G20" s="1">
        <v>45906</v>
      </c>
      <c r="I20" s="3" t="s">
        <v>90</v>
      </c>
      <c r="J20">
        <v>35840</v>
      </c>
    </row>
    <row r="21" spans="1:10" x14ac:dyDescent="0.35">
      <c r="A21">
        <v>85</v>
      </c>
      <c r="B21">
        <v>16</v>
      </c>
      <c r="C21">
        <v>2</v>
      </c>
      <c r="D21">
        <f>VLOOKUP(B21,PRODUCTS!A:E,4,FALSE)*C21</f>
        <v>1198</v>
      </c>
      <c r="E21">
        <f>(VLOOKUP(B21,PRODUCTS!A:E,4,FALSE) - VLOOKUP(B21,PRODUCTS!A:E,5,FALSE)) * C21</f>
        <v>598</v>
      </c>
      <c r="F21" t="s">
        <v>64</v>
      </c>
      <c r="G21" s="1">
        <v>45795</v>
      </c>
      <c r="I21" s="3" t="s">
        <v>91</v>
      </c>
      <c r="J21">
        <v>36601</v>
      </c>
    </row>
    <row r="22" spans="1:10" x14ac:dyDescent="0.35">
      <c r="A22">
        <v>179</v>
      </c>
      <c r="B22">
        <v>20</v>
      </c>
      <c r="C22">
        <v>3</v>
      </c>
      <c r="D22">
        <f>VLOOKUP(B22,PRODUCTS!A:E,4,FALSE)*C22</f>
        <v>4197</v>
      </c>
      <c r="E22">
        <f>(VLOOKUP(B22,PRODUCTS!A:E,4,FALSE) - VLOOKUP(B22,PRODUCTS!A:E,5,FALSE)) * C22</f>
        <v>1647</v>
      </c>
      <c r="F22" t="s">
        <v>65</v>
      </c>
      <c r="G22" s="1">
        <v>45876</v>
      </c>
      <c r="I22" s="3" t="s">
        <v>92</v>
      </c>
      <c r="J22">
        <v>32759</v>
      </c>
    </row>
    <row r="23" spans="1:10" x14ac:dyDescent="0.35">
      <c r="A23">
        <v>79</v>
      </c>
      <c r="B23">
        <v>11</v>
      </c>
      <c r="C23">
        <v>2</v>
      </c>
      <c r="D23">
        <f>VLOOKUP(B23,PRODUCTS!A:E,4,FALSE)*C23</f>
        <v>1598</v>
      </c>
      <c r="E23">
        <f>(VLOOKUP(B23,PRODUCTS!A:E,4,FALSE) - VLOOKUP(B23,PRODUCTS!A:E,5,FALSE)) * C23</f>
        <v>798</v>
      </c>
      <c r="F23" t="s">
        <v>65</v>
      </c>
      <c r="G23" s="1">
        <v>46012</v>
      </c>
      <c r="I23" s="3" t="s">
        <v>93</v>
      </c>
      <c r="J23">
        <v>29113</v>
      </c>
    </row>
    <row r="24" spans="1:10" x14ac:dyDescent="0.35">
      <c r="A24">
        <v>200</v>
      </c>
      <c r="B24">
        <v>4</v>
      </c>
      <c r="C24">
        <v>3</v>
      </c>
      <c r="D24">
        <f>VLOOKUP(B24,PRODUCTS!A:E,4,FALSE)*C24</f>
        <v>3597</v>
      </c>
      <c r="E24">
        <f>(VLOOKUP(B24,PRODUCTS!A:E,4,FALSE) - VLOOKUP(B24,PRODUCTS!A:E,5,FALSE)) * C24</f>
        <v>1497</v>
      </c>
      <c r="F24" t="s">
        <v>65</v>
      </c>
      <c r="G24" s="1">
        <v>45844</v>
      </c>
      <c r="I24" s="3" t="s">
        <v>94</v>
      </c>
      <c r="J24">
        <v>51239</v>
      </c>
    </row>
    <row r="25" spans="1:10" x14ac:dyDescent="0.35">
      <c r="A25">
        <v>173</v>
      </c>
      <c r="B25">
        <v>24</v>
      </c>
      <c r="C25">
        <v>4</v>
      </c>
      <c r="D25">
        <f>VLOOKUP(B25,PRODUCTS!A:E,4,FALSE)*C25</f>
        <v>2796</v>
      </c>
      <c r="E25">
        <f>(VLOOKUP(B25,PRODUCTS!A:E,4,FALSE) - VLOOKUP(B25,PRODUCTS!A:E,5,FALSE)) * C25</f>
        <v>1396</v>
      </c>
      <c r="F25" t="s">
        <v>65</v>
      </c>
      <c r="G25" s="1">
        <v>45662</v>
      </c>
      <c r="I25" s="3" t="s">
        <v>95</v>
      </c>
      <c r="J25">
        <v>68731</v>
      </c>
    </row>
    <row r="26" spans="1:10" x14ac:dyDescent="0.35">
      <c r="A26">
        <v>16</v>
      </c>
      <c r="B26">
        <v>25</v>
      </c>
      <c r="C26">
        <v>1</v>
      </c>
      <c r="D26">
        <f>VLOOKUP(B26,PRODUCTS!A:E,4,FALSE)*C26</f>
        <v>799</v>
      </c>
      <c r="E26">
        <f>(VLOOKUP(B26,PRODUCTS!A:E,4,FALSE) - VLOOKUP(B26,PRODUCTS!A:E,5,FALSE)) * C26</f>
        <v>399</v>
      </c>
      <c r="F26" t="s">
        <v>65</v>
      </c>
      <c r="G26" s="1">
        <v>45818</v>
      </c>
      <c r="I26" s="3" t="s">
        <v>96</v>
      </c>
      <c r="J26">
        <v>61626</v>
      </c>
    </row>
    <row r="27" spans="1:10" x14ac:dyDescent="0.35">
      <c r="A27">
        <v>162</v>
      </c>
      <c r="B27">
        <v>22</v>
      </c>
      <c r="C27">
        <v>3</v>
      </c>
      <c r="D27">
        <f>VLOOKUP(B27,PRODUCTS!A:E,4,FALSE)*C27</f>
        <v>1047</v>
      </c>
      <c r="E27">
        <f>(VLOOKUP(B27,PRODUCTS!A:E,4,FALSE) - VLOOKUP(B27,PRODUCTS!A:E,5,FALSE)) * C27</f>
        <v>507</v>
      </c>
      <c r="F27" t="s">
        <v>65</v>
      </c>
      <c r="G27" s="1">
        <v>45985</v>
      </c>
      <c r="I27" s="3" t="s">
        <v>97</v>
      </c>
      <c r="J27">
        <v>30811</v>
      </c>
    </row>
    <row r="28" spans="1:10" x14ac:dyDescent="0.35">
      <c r="A28">
        <v>16</v>
      </c>
      <c r="B28">
        <v>16</v>
      </c>
      <c r="C28">
        <v>1</v>
      </c>
      <c r="D28">
        <f>VLOOKUP(B28,PRODUCTS!A:E,4,FALSE)*C28</f>
        <v>599</v>
      </c>
      <c r="E28">
        <f>(VLOOKUP(B28,PRODUCTS!A:E,4,FALSE) - VLOOKUP(B28,PRODUCTS!A:E,5,FALSE)) * C28</f>
        <v>299</v>
      </c>
      <c r="F28" t="s">
        <v>65</v>
      </c>
      <c r="G28" s="1">
        <v>45833</v>
      </c>
      <c r="I28" s="3" t="s">
        <v>98</v>
      </c>
      <c r="J28">
        <v>35462</v>
      </c>
    </row>
    <row r="29" spans="1:10" x14ac:dyDescent="0.35">
      <c r="A29">
        <v>186</v>
      </c>
      <c r="B29">
        <v>24</v>
      </c>
      <c r="C29">
        <v>1</v>
      </c>
      <c r="D29">
        <f>VLOOKUP(B29,PRODUCTS!A:E,4,FALSE)*C29</f>
        <v>699</v>
      </c>
      <c r="E29">
        <f>(VLOOKUP(B29,PRODUCTS!A:E,4,FALSE) - VLOOKUP(B29,PRODUCTS!A:E,5,FALSE)) * C29</f>
        <v>349</v>
      </c>
      <c r="F29" t="s">
        <v>65</v>
      </c>
      <c r="G29" s="1">
        <v>45935</v>
      </c>
      <c r="I29" s="3" t="s">
        <v>86</v>
      </c>
      <c r="J29">
        <v>512319</v>
      </c>
    </row>
    <row r="30" spans="1:10" x14ac:dyDescent="0.35">
      <c r="A30">
        <v>54</v>
      </c>
      <c r="B30">
        <v>14</v>
      </c>
      <c r="C30">
        <v>1</v>
      </c>
      <c r="D30">
        <f>VLOOKUP(B30,PRODUCTS!A:E,4,FALSE)*C30</f>
        <v>699</v>
      </c>
      <c r="E30">
        <f>(VLOOKUP(B30,PRODUCTS!A:E,4,FALSE) - VLOOKUP(B30,PRODUCTS!A:E,5,FALSE)) * C30</f>
        <v>349</v>
      </c>
      <c r="F30" t="s">
        <v>65</v>
      </c>
      <c r="G30" s="1">
        <v>45801</v>
      </c>
    </row>
    <row r="31" spans="1:10" x14ac:dyDescent="0.35">
      <c r="A31">
        <v>4</v>
      </c>
      <c r="B31">
        <v>19</v>
      </c>
      <c r="C31">
        <v>5</v>
      </c>
      <c r="D31">
        <f>VLOOKUP(B31,PRODUCTS!A:E,4,FALSE)*C31</f>
        <v>6495</v>
      </c>
      <c r="E31">
        <f>(VLOOKUP(B31,PRODUCTS!A:E,4,FALSE) - VLOOKUP(B31,PRODUCTS!A:E,5,FALSE)) * C31</f>
        <v>2495</v>
      </c>
      <c r="F31" t="s">
        <v>65</v>
      </c>
      <c r="G31" s="1">
        <v>45710</v>
      </c>
    </row>
    <row r="32" spans="1:10" x14ac:dyDescent="0.35">
      <c r="A32">
        <v>167</v>
      </c>
      <c r="B32">
        <v>14</v>
      </c>
      <c r="C32">
        <v>1</v>
      </c>
      <c r="D32">
        <f>VLOOKUP(B32,PRODUCTS!A:E,4,FALSE)*C32</f>
        <v>699</v>
      </c>
      <c r="E32">
        <f>(VLOOKUP(B32,PRODUCTS!A:E,4,FALSE) - VLOOKUP(B32,PRODUCTS!A:E,5,FALSE)) * C32</f>
        <v>349</v>
      </c>
      <c r="F32" t="s">
        <v>63</v>
      </c>
      <c r="G32" s="1">
        <v>45797</v>
      </c>
    </row>
    <row r="33" spans="1:7" x14ac:dyDescent="0.35">
      <c r="A33">
        <v>125</v>
      </c>
      <c r="B33">
        <v>21</v>
      </c>
      <c r="C33">
        <v>3</v>
      </c>
      <c r="D33">
        <f>VLOOKUP(B33,PRODUCTS!A:E,4,FALSE)*C33</f>
        <v>897</v>
      </c>
      <c r="E33">
        <f>(VLOOKUP(B33,PRODUCTS!A:E,4,FALSE) - VLOOKUP(B33,PRODUCTS!A:E,5,FALSE)) * C33</f>
        <v>447</v>
      </c>
      <c r="F33" t="s">
        <v>63</v>
      </c>
      <c r="G33" s="1">
        <v>45852</v>
      </c>
    </row>
    <row r="34" spans="1:7" x14ac:dyDescent="0.35">
      <c r="A34">
        <v>23</v>
      </c>
      <c r="B34">
        <v>1</v>
      </c>
      <c r="C34">
        <v>5</v>
      </c>
      <c r="D34">
        <f>VLOOKUP(B34,PRODUCTS!A:E,4,FALSE)*C34</f>
        <v>2495</v>
      </c>
      <c r="E34">
        <f>(VLOOKUP(B34,PRODUCTS!A:E,4,FALSE) - VLOOKUP(B34,PRODUCTS!A:E,5,FALSE)) * C34</f>
        <v>1245</v>
      </c>
      <c r="F34" t="s">
        <v>63</v>
      </c>
      <c r="G34" s="1">
        <v>45720</v>
      </c>
    </row>
    <row r="35" spans="1:7" x14ac:dyDescent="0.35">
      <c r="A35">
        <v>17</v>
      </c>
      <c r="B35">
        <v>16</v>
      </c>
      <c r="C35">
        <v>4</v>
      </c>
      <c r="D35">
        <f>VLOOKUP(B35,PRODUCTS!A:E,4,FALSE)*C35</f>
        <v>2396</v>
      </c>
      <c r="E35">
        <f>(VLOOKUP(B35,PRODUCTS!A:E,4,FALSE) - VLOOKUP(B35,PRODUCTS!A:E,5,FALSE)) * C35</f>
        <v>1196</v>
      </c>
      <c r="F35" t="s">
        <v>63</v>
      </c>
      <c r="G35" s="1">
        <v>45909</v>
      </c>
    </row>
    <row r="36" spans="1:7" x14ac:dyDescent="0.35">
      <c r="A36">
        <v>59</v>
      </c>
      <c r="B36">
        <v>18</v>
      </c>
      <c r="C36">
        <v>1</v>
      </c>
      <c r="D36">
        <f>VLOOKUP(B36,PRODUCTS!A:E,4,FALSE)*C36</f>
        <v>799</v>
      </c>
      <c r="E36">
        <f>(VLOOKUP(B36,PRODUCTS!A:E,4,FALSE) - VLOOKUP(B36,PRODUCTS!A:E,5,FALSE)) * C36</f>
        <v>349</v>
      </c>
      <c r="F36" t="s">
        <v>63</v>
      </c>
      <c r="G36" s="1">
        <v>45671</v>
      </c>
    </row>
    <row r="37" spans="1:7" x14ac:dyDescent="0.35">
      <c r="A37">
        <v>109</v>
      </c>
      <c r="B37">
        <v>12</v>
      </c>
      <c r="C37">
        <v>2</v>
      </c>
      <c r="D37">
        <f>VLOOKUP(B37,PRODUCTS!A:E,4,FALSE)*C37</f>
        <v>2398</v>
      </c>
      <c r="E37">
        <f>(VLOOKUP(B37,PRODUCTS!A:E,4,FALSE) - VLOOKUP(B37,PRODUCTS!A:E,5,FALSE)) * C37</f>
        <v>998</v>
      </c>
      <c r="F37" t="s">
        <v>64</v>
      </c>
      <c r="G37" s="1">
        <v>45778</v>
      </c>
    </row>
    <row r="38" spans="1:7" x14ac:dyDescent="0.35">
      <c r="A38">
        <v>23</v>
      </c>
      <c r="B38">
        <v>15</v>
      </c>
      <c r="C38">
        <v>2</v>
      </c>
      <c r="D38">
        <f>VLOOKUP(B38,PRODUCTS!A:E,4,FALSE)*C38</f>
        <v>2998</v>
      </c>
      <c r="E38">
        <f>(VLOOKUP(B38,PRODUCTS!A:E,4,FALSE) - VLOOKUP(B38,PRODUCTS!A:E,5,FALSE)) * C38</f>
        <v>1198</v>
      </c>
      <c r="F38" t="s">
        <v>64</v>
      </c>
      <c r="G38" s="1">
        <v>46013</v>
      </c>
    </row>
    <row r="39" spans="1:7" x14ac:dyDescent="0.35">
      <c r="A39">
        <v>85</v>
      </c>
      <c r="B39">
        <v>10</v>
      </c>
      <c r="C39">
        <v>1</v>
      </c>
      <c r="D39">
        <f>VLOOKUP(B39,PRODUCTS!A:E,4,FALSE)*C39</f>
        <v>1599</v>
      </c>
      <c r="E39">
        <f>(VLOOKUP(B39,PRODUCTS!A:E,4,FALSE) - VLOOKUP(B39,PRODUCTS!A:E,5,FALSE)) * C39</f>
        <v>649</v>
      </c>
      <c r="F39" t="s">
        <v>64</v>
      </c>
      <c r="G39" s="1">
        <v>46019</v>
      </c>
    </row>
    <row r="40" spans="1:7" x14ac:dyDescent="0.35">
      <c r="A40">
        <v>24</v>
      </c>
      <c r="B40">
        <v>18</v>
      </c>
      <c r="C40">
        <v>3</v>
      </c>
      <c r="D40">
        <f>VLOOKUP(B40,PRODUCTS!A:E,4,FALSE)*C40</f>
        <v>2397</v>
      </c>
      <c r="E40">
        <f>(VLOOKUP(B40,PRODUCTS!A:E,4,FALSE) - VLOOKUP(B40,PRODUCTS!A:E,5,FALSE)) * C40</f>
        <v>1047</v>
      </c>
      <c r="F40" t="s">
        <v>64</v>
      </c>
      <c r="G40" s="1">
        <v>45809</v>
      </c>
    </row>
    <row r="41" spans="1:7" x14ac:dyDescent="0.35">
      <c r="A41">
        <v>189</v>
      </c>
      <c r="B41">
        <v>25</v>
      </c>
      <c r="C41">
        <v>3</v>
      </c>
      <c r="D41">
        <f>VLOOKUP(B41,PRODUCTS!A:E,4,FALSE)*C41</f>
        <v>2397</v>
      </c>
      <c r="E41">
        <f>(VLOOKUP(B41,PRODUCTS!A:E,4,FALSE) - VLOOKUP(B41,PRODUCTS!A:E,5,FALSE)) * C41</f>
        <v>1197</v>
      </c>
      <c r="F41" t="s">
        <v>64</v>
      </c>
      <c r="G41" s="1">
        <v>45974</v>
      </c>
    </row>
    <row r="42" spans="1:7" x14ac:dyDescent="0.35">
      <c r="A42">
        <v>139</v>
      </c>
      <c r="B42">
        <v>4</v>
      </c>
      <c r="C42">
        <v>2</v>
      </c>
      <c r="D42">
        <f>VLOOKUP(B42,PRODUCTS!A:E,4,FALSE)*C42</f>
        <v>2398</v>
      </c>
      <c r="E42">
        <f>(VLOOKUP(B42,PRODUCTS!A:E,4,FALSE) - VLOOKUP(B42,PRODUCTS!A:E,5,FALSE)) * C42</f>
        <v>998</v>
      </c>
      <c r="F42" t="s">
        <v>65</v>
      </c>
      <c r="G42" s="1">
        <v>45792</v>
      </c>
    </row>
    <row r="43" spans="1:7" x14ac:dyDescent="0.35">
      <c r="A43">
        <v>137</v>
      </c>
      <c r="B43">
        <v>4</v>
      </c>
      <c r="C43">
        <v>3</v>
      </c>
      <c r="D43">
        <f>VLOOKUP(B43,PRODUCTS!A:E,4,FALSE)*C43</f>
        <v>3597</v>
      </c>
      <c r="E43">
        <f>(VLOOKUP(B43,PRODUCTS!A:E,4,FALSE) - VLOOKUP(B43,PRODUCTS!A:E,5,FALSE)) * C43</f>
        <v>1497</v>
      </c>
      <c r="F43" t="s">
        <v>65</v>
      </c>
      <c r="G43" s="1">
        <v>45705</v>
      </c>
    </row>
    <row r="44" spans="1:7" x14ac:dyDescent="0.35">
      <c r="A44">
        <v>180</v>
      </c>
      <c r="B44">
        <v>4</v>
      </c>
      <c r="C44">
        <v>5</v>
      </c>
      <c r="D44">
        <f>VLOOKUP(B44,PRODUCTS!A:E,4,FALSE)*C44</f>
        <v>5995</v>
      </c>
      <c r="E44">
        <f>(VLOOKUP(B44,PRODUCTS!A:E,4,FALSE) - VLOOKUP(B44,PRODUCTS!A:E,5,FALSE)) * C44</f>
        <v>2495</v>
      </c>
      <c r="F44" t="s">
        <v>65</v>
      </c>
      <c r="G44" s="1">
        <v>45706</v>
      </c>
    </row>
    <row r="45" spans="1:7" x14ac:dyDescent="0.35">
      <c r="A45">
        <v>102</v>
      </c>
      <c r="B45">
        <v>12</v>
      </c>
      <c r="C45">
        <v>3</v>
      </c>
      <c r="D45">
        <f>VLOOKUP(B45,PRODUCTS!A:E,4,FALSE)*C45</f>
        <v>3597</v>
      </c>
      <c r="E45">
        <f>(VLOOKUP(B45,PRODUCTS!A:E,4,FALSE) - VLOOKUP(B45,PRODUCTS!A:E,5,FALSE)) * C45</f>
        <v>1497</v>
      </c>
      <c r="F45" t="s">
        <v>65</v>
      </c>
      <c r="G45" s="1">
        <v>45905</v>
      </c>
    </row>
    <row r="46" spans="1:7" x14ac:dyDescent="0.35">
      <c r="A46">
        <v>65</v>
      </c>
      <c r="B46">
        <v>9</v>
      </c>
      <c r="C46">
        <v>5</v>
      </c>
      <c r="D46">
        <f>VLOOKUP(B46,PRODUCTS!A:E,4,FALSE)*C46</f>
        <v>4495</v>
      </c>
      <c r="E46">
        <f>(VLOOKUP(B46,PRODUCTS!A:E,4,FALSE) - VLOOKUP(B46,PRODUCTS!A:E,5,FALSE)) * C46</f>
        <v>1995</v>
      </c>
      <c r="F46" t="s">
        <v>65</v>
      </c>
      <c r="G46" s="1">
        <v>45937</v>
      </c>
    </row>
    <row r="47" spans="1:7" x14ac:dyDescent="0.35">
      <c r="A47">
        <v>97</v>
      </c>
      <c r="B47">
        <v>16</v>
      </c>
      <c r="C47">
        <v>5</v>
      </c>
      <c r="D47">
        <f>VLOOKUP(B47,PRODUCTS!A:E,4,FALSE)*C47</f>
        <v>2995</v>
      </c>
      <c r="E47">
        <f>(VLOOKUP(B47,PRODUCTS!A:E,4,FALSE) - VLOOKUP(B47,PRODUCTS!A:E,5,FALSE)) * C47</f>
        <v>1495</v>
      </c>
      <c r="F47" t="s">
        <v>63</v>
      </c>
      <c r="G47" s="1">
        <v>45672</v>
      </c>
    </row>
    <row r="48" spans="1:7" x14ac:dyDescent="0.35">
      <c r="A48">
        <v>165</v>
      </c>
      <c r="B48">
        <v>21</v>
      </c>
      <c r="C48">
        <v>2</v>
      </c>
      <c r="D48">
        <f>VLOOKUP(B48,PRODUCTS!A:E,4,FALSE)*C48</f>
        <v>598</v>
      </c>
      <c r="E48">
        <f>(VLOOKUP(B48,PRODUCTS!A:E,4,FALSE) - VLOOKUP(B48,PRODUCTS!A:E,5,FALSE)) * C48</f>
        <v>298</v>
      </c>
      <c r="F48" t="s">
        <v>63</v>
      </c>
      <c r="G48" s="1">
        <v>45851</v>
      </c>
    </row>
    <row r="49" spans="1:7" x14ac:dyDescent="0.35">
      <c r="A49">
        <v>176</v>
      </c>
      <c r="B49">
        <v>8</v>
      </c>
      <c r="C49">
        <v>5</v>
      </c>
      <c r="D49">
        <f>VLOOKUP(B49,PRODUCTS!A:E,4,FALSE)*C49</f>
        <v>2995</v>
      </c>
      <c r="E49">
        <f>(VLOOKUP(B49,PRODUCTS!A:E,4,FALSE) - VLOOKUP(B49,PRODUCTS!A:E,5,FALSE)) * C49</f>
        <v>1495</v>
      </c>
      <c r="F49" t="s">
        <v>64</v>
      </c>
      <c r="G49" s="1">
        <v>45728</v>
      </c>
    </row>
    <row r="50" spans="1:7" x14ac:dyDescent="0.35">
      <c r="A50">
        <v>198</v>
      </c>
      <c r="B50">
        <v>7</v>
      </c>
      <c r="C50">
        <v>2</v>
      </c>
      <c r="D50">
        <f>VLOOKUP(B50,PRODUCTS!A:E,4,FALSE)*C50</f>
        <v>2998</v>
      </c>
      <c r="E50">
        <f>(VLOOKUP(B50,PRODUCTS!A:E,4,FALSE) - VLOOKUP(B50,PRODUCTS!A:E,5,FALSE)) * C50</f>
        <v>1198</v>
      </c>
      <c r="F50" t="s">
        <v>64</v>
      </c>
      <c r="G50" s="1">
        <v>45826</v>
      </c>
    </row>
    <row r="51" spans="1:7" x14ac:dyDescent="0.35">
      <c r="A51">
        <v>154</v>
      </c>
      <c r="B51">
        <v>3</v>
      </c>
      <c r="C51">
        <v>3</v>
      </c>
      <c r="D51">
        <f>VLOOKUP(B51,PRODUCTS!A:E,4,FALSE)*C51</f>
        <v>2397</v>
      </c>
      <c r="E51">
        <f>(VLOOKUP(B51,PRODUCTS!A:E,4,FALSE) - VLOOKUP(B51,PRODUCTS!A:E,5,FALSE)) * C51</f>
        <v>1047</v>
      </c>
      <c r="F51" t="s">
        <v>65</v>
      </c>
      <c r="G51" s="1">
        <v>45848</v>
      </c>
    </row>
    <row r="52" spans="1:7" x14ac:dyDescent="0.35">
      <c r="A52">
        <v>87</v>
      </c>
      <c r="B52">
        <v>13</v>
      </c>
      <c r="C52">
        <v>5</v>
      </c>
      <c r="D52">
        <f>VLOOKUP(B52,PRODUCTS!A:E,4,FALSE)*C52</f>
        <v>2495</v>
      </c>
      <c r="E52">
        <f>(VLOOKUP(B52,PRODUCTS!A:E,4,FALSE) - VLOOKUP(B52,PRODUCTS!A:E,5,FALSE)) * C52</f>
        <v>1245</v>
      </c>
      <c r="G52" s="1">
        <v>45778</v>
      </c>
    </row>
    <row r="53" spans="1:7" x14ac:dyDescent="0.35">
      <c r="A53">
        <v>9</v>
      </c>
      <c r="B53">
        <v>21</v>
      </c>
      <c r="C53">
        <v>3</v>
      </c>
      <c r="D53">
        <f>VLOOKUP(B53,PRODUCTS!A:E,4,FALSE)*C53</f>
        <v>897</v>
      </c>
      <c r="E53">
        <f>(VLOOKUP(B53,PRODUCTS!A:E,4,FALSE) - VLOOKUP(B53,PRODUCTS!A:E,5,FALSE)) * C53</f>
        <v>447</v>
      </c>
      <c r="G53" s="1">
        <v>45902</v>
      </c>
    </row>
    <row r="54" spans="1:7" x14ac:dyDescent="0.35">
      <c r="A54">
        <v>68</v>
      </c>
      <c r="B54">
        <v>1</v>
      </c>
      <c r="C54">
        <v>1</v>
      </c>
      <c r="D54">
        <f>VLOOKUP(B54,PRODUCTS!A:E,4,FALSE)*C54</f>
        <v>499</v>
      </c>
      <c r="E54">
        <f>(VLOOKUP(B54,PRODUCTS!A:E,4,FALSE) - VLOOKUP(B54,PRODUCTS!A:E,5,FALSE)) * C54</f>
        <v>249</v>
      </c>
      <c r="G54" s="1">
        <v>46001</v>
      </c>
    </row>
    <row r="55" spans="1:7" x14ac:dyDescent="0.35">
      <c r="A55">
        <v>65</v>
      </c>
      <c r="B55">
        <v>13</v>
      </c>
      <c r="C55">
        <v>5</v>
      </c>
      <c r="D55">
        <f>VLOOKUP(B55,PRODUCTS!A:E,4,FALSE)*C55</f>
        <v>2495</v>
      </c>
      <c r="E55">
        <f>(VLOOKUP(B55,PRODUCTS!A:E,4,FALSE) - VLOOKUP(B55,PRODUCTS!A:E,5,FALSE)) * C55</f>
        <v>1245</v>
      </c>
      <c r="G55" s="1">
        <v>45773</v>
      </c>
    </row>
    <row r="56" spans="1:7" x14ac:dyDescent="0.35">
      <c r="A56">
        <v>74</v>
      </c>
      <c r="B56">
        <v>14</v>
      </c>
      <c r="C56">
        <v>3</v>
      </c>
      <c r="D56">
        <f>VLOOKUP(B56,PRODUCTS!A:E,4,FALSE)*C56</f>
        <v>2097</v>
      </c>
      <c r="E56">
        <f>(VLOOKUP(B56,PRODUCTS!A:E,4,FALSE) - VLOOKUP(B56,PRODUCTS!A:E,5,FALSE)) * C56</f>
        <v>1047</v>
      </c>
      <c r="G56" s="1">
        <v>45896</v>
      </c>
    </row>
    <row r="57" spans="1:7" x14ac:dyDescent="0.35">
      <c r="A57">
        <v>143</v>
      </c>
      <c r="B57">
        <v>15</v>
      </c>
      <c r="C57">
        <v>4</v>
      </c>
      <c r="D57">
        <f>VLOOKUP(B57,PRODUCTS!A:E,4,FALSE)*C57</f>
        <v>5996</v>
      </c>
      <c r="E57">
        <f>(VLOOKUP(B57,PRODUCTS!A:E,4,FALSE) - VLOOKUP(B57,PRODUCTS!A:E,5,FALSE)) * C57</f>
        <v>2396</v>
      </c>
      <c r="G57" s="1">
        <v>45967</v>
      </c>
    </row>
    <row r="58" spans="1:7" x14ac:dyDescent="0.35">
      <c r="A58">
        <v>37</v>
      </c>
      <c r="B58">
        <v>12</v>
      </c>
      <c r="C58">
        <v>4</v>
      </c>
      <c r="D58">
        <f>VLOOKUP(B58,PRODUCTS!A:E,4,FALSE)*C58</f>
        <v>4796</v>
      </c>
      <c r="E58">
        <f>(VLOOKUP(B58,PRODUCTS!A:E,4,FALSE) - VLOOKUP(B58,PRODUCTS!A:E,5,FALSE)) * C58</f>
        <v>1996</v>
      </c>
      <c r="G58" s="1">
        <v>45857</v>
      </c>
    </row>
    <row r="59" spans="1:7" x14ac:dyDescent="0.35">
      <c r="A59">
        <v>120</v>
      </c>
      <c r="B59">
        <v>10</v>
      </c>
      <c r="C59">
        <v>3</v>
      </c>
      <c r="D59">
        <f>VLOOKUP(B59,PRODUCTS!A:E,4,FALSE)*C59</f>
        <v>4797</v>
      </c>
      <c r="E59">
        <f>(VLOOKUP(B59,PRODUCTS!A:E,4,FALSE) - VLOOKUP(B59,PRODUCTS!A:E,5,FALSE)) * C59</f>
        <v>1947</v>
      </c>
      <c r="G59" s="1">
        <v>45732</v>
      </c>
    </row>
    <row r="60" spans="1:7" x14ac:dyDescent="0.35">
      <c r="A60">
        <v>110</v>
      </c>
      <c r="B60">
        <v>24</v>
      </c>
      <c r="C60">
        <v>5</v>
      </c>
      <c r="D60">
        <f>VLOOKUP(B60,PRODUCTS!A:E,4,FALSE)*C60</f>
        <v>3495</v>
      </c>
      <c r="E60">
        <f>(VLOOKUP(B60,PRODUCTS!A:E,4,FALSE) - VLOOKUP(B60,PRODUCTS!A:E,5,FALSE)) * C60</f>
        <v>1745</v>
      </c>
      <c r="G60" s="1">
        <v>45886</v>
      </c>
    </row>
    <row r="61" spans="1:7" x14ac:dyDescent="0.35">
      <c r="A61">
        <v>110</v>
      </c>
      <c r="B61">
        <v>3</v>
      </c>
      <c r="C61">
        <v>2</v>
      </c>
      <c r="D61">
        <f>VLOOKUP(B61,PRODUCTS!A:E,4,FALSE)*C61</f>
        <v>1598</v>
      </c>
      <c r="E61">
        <f>(VLOOKUP(B61,PRODUCTS!A:E,4,FALSE) - VLOOKUP(B61,PRODUCTS!A:E,5,FALSE)) * C61</f>
        <v>698</v>
      </c>
      <c r="G61" s="1">
        <v>45893</v>
      </c>
    </row>
    <row r="62" spans="1:7" x14ac:dyDescent="0.35">
      <c r="A62">
        <v>153</v>
      </c>
      <c r="B62">
        <v>14</v>
      </c>
      <c r="C62">
        <v>3</v>
      </c>
      <c r="D62">
        <f>VLOOKUP(B62,PRODUCTS!A:E,4,FALSE)*C62</f>
        <v>2097</v>
      </c>
      <c r="E62">
        <f>(VLOOKUP(B62,PRODUCTS!A:E,4,FALSE) - VLOOKUP(B62,PRODUCTS!A:E,5,FALSE)) * C62</f>
        <v>1047</v>
      </c>
      <c r="G62" s="1">
        <v>45710</v>
      </c>
    </row>
    <row r="63" spans="1:7" x14ac:dyDescent="0.35">
      <c r="A63">
        <v>121</v>
      </c>
      <c r="B63">
        <v>1</v>
      </c>
      <c r="C63">
        <v>3</v>
      </c>
      <c r="D63">
        <f>VLOOKUP(B63,PRODUCTS!A:E,4,FALSE)*C63</f>
        <v>1497</v>
      </c>
      <c r="E63">
        <f>(VLOOKUP(B63,PRODUCTS!A:E,4,FALSE) - VLOOKUP(B63,PRODUCTS!A:E,5,FALSE)) * C63</f>
        <v>747</v>
      </c>
      <c r="G63" s="1">
        <v>45871</v>
      </c>
    </row>
    <row r="64" spans="1:7" x14ac:dyDescent="0.35">
      <c r="A64">
        <v>62</v>
      </c>
      <c r="B64">
        <v>22</v>
      </c>
      <c r="C64">
        <v>4</v>
      </c>
      <c r="D64">
        <f>VLOOKUP(B64,PRODUCTS!A:E,4,FALSE)*C64</f>
        <v>1396</v>
      </c>
      <c r="E64">
        <f>(VLOOKUP(B64,PRODUCTS!A:E,4,FALSE) - VLOOKUP(B64,PRODUCTS!A:E,5,FALSE)) * C64</f>
        <v>676</v>
      </c>
      <c r="G64" s="1">
        <v>45943</v>
      </c>
    </row>
    <row r="65" spans="1:7" x14ac:dyDescent="0.35">
      <c r="A65">
        <v>44</v>
      </c>
      <c r="B65">
        <v>18</v>
      </c>
      <c r="C65">
        <v>2</v>
      </c>
      <c r="D65">
        <f>VLOOKUP(B65,PRODUCTS!A:E,4,FALSE)*C65</f>
        <v>1598</v>
      </c>
      <c r="E65">
        <f>(VLOOKUP(B65,PRODUCTS!A:E,4,FALSE) - VLOOKUP(B65,PRODUCTS!A:E,5,FALSE)) * C65</f>
        <v>698</v>
      </c>
      <c r="G65" s="1">
        <v>45905</v>
      </c>
    </row>
    <row r="66" spans="1:7" x14ac:dyDescent="0.35">
      <c r="A66">
        <v>183</v>
      </c>
      <c r="B66">
        <v>3</v>
      </c>
      <c r="C66">
        <v>4</v>
      </c>
      <c r="D66">
        <f>VLOOKUP(B66,PRODUCTS!A:E,4,FALSE)*C66</f>
        <v>3196</v>
      </c>
      <c r="E66">
        <f>(VLOOKUP(B66,PRODUCTS!A:E,4,FALSE) - VLOOKUP(B66,PRODUCTS!A:E,5,FALSE)) * C66</f>
        <v>1396</v>
      </c>
      <c r="G66" s="1">
        <v>45748</v>
      </c>
    </row>
    <row r="67" spans="1:7" x14ac:dyDescent="0.35">
      <c r="A67">
        <v>6</v>
      </c>
      <c r="B67">
        <v>24</v>
      </c>
      <c r="C67">
        <v>2</v>
      </c>
      <c r="D67">
        <f>VLOOKUP(B67,PRODUCTS!A:E,4,FALSE)*C67</f>
        <v>1398</v>
      </c>
      <c r="E67">
        <f>(VLOOKUP(B67,PRODUCTS!A:E,4,FALSE) - VLOOKUP(B67,PRODUCTS!A:E,5,FALSE)) * C67</f>
        <v>698</v>
      </c>
      <c r="G67" s="1">
        <v>45910</v>
      </c>
    </row>
    <row r="68" spans="1:7" x14ac:dyDescent="0.35">
      <c r="A68">
        <v>140</v>
      </c>
      <c r="B68">
        <v>24</v>
      </c>
      <c r="C68">
        <v>5</v>
      </c>
      <c r="D68">
        <f>VLOOKUP(B68,PRODUCTS!A:E,4,FALSE)*C68</f>
        <v>3495</v>
      </c>
      <c r="E68">
        <f>(VLOOKUP(B68,PRODUCTS!A:E,4,FALSE) - VLOOKUP(B68,PRODUCTS!A:E,5,FALSE)) * C68</f>
        <v>1745</v>
      </c>
      <c r="G68" s="1">
        <v>45814</v>
      </c>
    </row>
    <row r="69" spans="1:7" x14ac:dyDescent="0.35">
      <c r="A69">
        <v>13</v>
      </c>
      <c r="B69">
        <v>6</v>
      </c>
      <c r="C69">
        <v>4</v>
      </c>
      <c r="D69">
        <f>VLOOKUP(B69,PRODUCTS!A:E,4,FALSE)*C69</f>
        <v>2796</v>
      </c>
      <c r="E69">
        <f>(VLOOKUP(B69,PRODUCTS!A:E,4,FALSE) - VLOOKUP(B69,PRODUCTS!A:E,5,FALSE)) * C69</f>
        <v>1396</v>
      </c>
      <c r="G69" s="1">
        <v>45846</v>
      </c>
    </row>
    <row r="70" spans="1:7" x14ac:dyDescent="0.35">
      <c r="A70">
        <v>94</v>
      </c>
      <c r="B70">
        <v>6</v>
      </c>
      <c r="C70">
        <v>5</v>
      </c>
      <c r="D70">
        <f>VLOOKUP(B70,PRODUCTS!A:E,4,FALSE)*C70</f>
        <v>3495</v>
      </c>
      <c r="E70">
        <f>(VLOOKUP(B70,PRODUCTS!A:E,4,FALSE) - VLOOKUP(B70,PRODUCTS!A:E,5,FALSE)) * C70</f>
        <v>1745</v>
      </c>
      <c r="G70" s="1">
        <v>45804</v>
      </c>
    </row>
    <row r="71" spans="1:7" x14ac:dyDescent="0.35">
      <c r="A71">
        <v>102</v>
      </c>
      <c r="B71">
        <v>8</v>
      </c>
      <c r="C71">
        <v>3</v>
      </c>
      <c r="D71">
        <f>VLOOKUP(B71,PRODUCTS!A:E,4,FALSE)*C71</f>
        <v>1797</v>
      </c>
      <c r="E71">
        <f>(VLOOKUP(B71,PRODUCTS!A:E,4,FALSE) - VLOOKUP(B71,PRODUCTS!A:E,5,FALSE)) * C71</f>
        <v>897</v>
      </c>
      <c r="G71" s="1">
        <v>45797</v>
      </c>
    </row>
    <row r="72" spans="1:7" x14ac:dyDescent="0.35">
      <c r="A72">
        <v>17</v>
      </c>
      <c r="B72">
        <v>9</v>
      </c>
      <c r="C72">
        <v>3</v>
      </c>
      <c r="D72">
        <f>VLOOKUP(B72,PRODUCTS!A:E,4,FALSE)*C72</f>
        <v>2697</v>
      </c>
      <c r="E72">
        <f>(VLOOKUP(B72,PRODUCTS!A:E,4,FALSE) - VLOOKUP(B72,PRODUCTS!A:E,5,FALSE)) * C72</f>
        <v>1197</v>
      </c>
      <c r="G72" s="1">
        <v>45815</v>
      </c>
    </row>
    <row r="73" spans="1:7" x14ac:dyDescent="0.35">
      <c r="A73">
        <v>51</v>
      </c>
      <c r="B73">
        <v>3</v>
      </c>
      <c r="C73">
        <v>5</v>
      </c>
      <c r="D73">
        <f>VLOOKUP(B73,PRODUCTS!A:E,4,FALSE)*C73</f>
        <v>3995</v>
      </c>
      <c r="E73">
        <f>(VLOOKUP(B73,PRODUCTS!A:E,4,FALSE) - VLOOKUP(B73,PRODUCTS!A:E,5,FALSE)) * C73</f>
        <v>1745</v>
      </c>
      <c r="G73" s="1">
        <v>45962</v>
      </c>
    </row>
    <row r="74" spans="1:7" x14ac:dyDescent="0.35">
      <c r="A74">
        <v>2</v>
      </c>
      <c r="B74">
        <v>8</v>
      </c>
      <c r="C74">
        <v>4</v>
      </c>
      <c r="D74">
        <f>VLOOKUP(B74,PRODUCTS!A:E,4,FALSE)*C74</f>
        <v>2396</v>
      </c>
      <c r="E74">
        <f>(VLOOKUP(B74,PRODUCTS!A:E,4,FALSE) - VLOOKUP(B74,PRODUCTS!A:E,5,FALSE)) * C74</f>
        <v>1196</v>
      </c>
      <c r="G74" s="1">
        <v>45779</v>
      </c>
    </row>
    <row r="75" spans="1:7" x14ac:dyDescent="0.35">
      <c r="A75">
        <v>104</v>
      </c>
      <c r="B75">
        <v>14</v>
      </c>
      <c r="C75">
        <v>1</v>
      </c>
      <c r="D75">
        <f>VLOOKUP(B75,PRODUCTS!A:E,4,FALSE)*C75</f>
        <v>699</v>
      </c>
      <c r="E75">
        <f>(VLOOKUP(B75,PRODUCTS!A:E,4,FALSE) - VLOOKUP(B75,PRODUCTS!A:E,5,FALSE)) * C75</f>
        <v>349</v>
      </c>
      <c r="G75" s="1">
        <v>45733</v>
      </c>
    </row>
    <row r="76" spans="1:7" x14ac:dyDescent="0.35">
      <c r="A76">
        <v>2</v>
      </c>
      <c r="B76">
        <v>21</v>
      </c>
      <c r="C76">
        <v>5</v>
      </c>
      <c r="D76">
        <f>VLOOKUP(B76,PRODUCTS!A:E,4,FALSE)*C76</f>
        <v>1495</v>
      </c>
      <c r="E76">
        <f>(VLOOKUP(B76,PRODUCTS!A:E,4,FALSE) - VLOOKUP(B76,PRODUCTS!A:E,5,FALSE)) * C76</f>
        <v>745</v>
      </c>
      <c r="G76" s="1">
        <v>45932</v>
      </c>
    </row>
    <row r="77" spans="1:7" x14ac:dyDescent="0.35">
      <c r="A77">
        <v>80</v>
      </c>
      <c r="B77">
        <v>20</v>
      </c>
      <c r="C77">
        <v>1</v>
      </c>
      <c r="D77">
        <f>VLOOKUP(B77,PRODUCTS!A:E,4,FALSE)*C77</f>
        <v>1399</v>
      </c>
      <c r="E77">
        <f>(VLOOKUP(B77,PRODUCTS!A:E,4,FALSE) - VLOOKUP(B77,PRODUCTS!A:E,5,FALSE)) * C77</f>
        <v>549</v>
      </c>
      <c r="G77" s="1">
        <v>45689</v>
      </c>
    </row>
    <row r="78" spans="1:7" x14ac:dyDescent="0.35">
      <c r="A78">
        <v>18</v>
      </c>
      <c r="B78">
        <v>12</v>
      </c>
      <c r="C78">
        <v>1</v>
      </c>
      <c r="D78">
        <f>VLOOKUP(B78,PRODUCTS!A:E,4,FALSE)*C78</f>
        <v>1199</v>
      </c>
      <c r="E78">
        <f>(VLOOKUP(B78,PRODUCTS!A:E,4,FALSE) - VLOOKUP(B78,PRODUCTS!A:E,5,FALSE)) * C78</f>
        <v>499</v>
      </c>
      <c r="G78" s="1">
        <v>45911</v>
      </c>
    </row>
    <row r="79" spans="1:7" x14ac:dyDescent="0.35">
      <c r="A79">
        <v>186</v>
      </c>
      <c r="B79">
        <v>20</v>
      </c>
      <c r="C79">
        <v>5</v>
      </c>
      <c r="D79">
        <f>VLOOKUP(B79,PRODUCTS!A:E,4,FALSE)*C79</f>
        <v>6995</v>
      </c>
      <c r="E79">
        <f>(VLOOKUP(B79,PRODUCTS!A:E,4,FALSE) - VLOOKUP(B79,PRODUCTS!A:E,5,FALSE)) * C79</f>
        <v>2745</v>
      </c>
      <c r="G79" s="1">
        <v>45956</v>
      </c>
    </row>
    <row r="80" spans="1:7" x14ac:dyDescent="0.35">
      <c r="A80">
        <v>140</v>
      </c>
      <c r="B80">
        <v>25</v>
      </c>
      <c r="C80">
        <v>2</v>
      </c>
      <c r="D80">
        <f>VLOOKUP(B80,PRODUCTS!A:E,4,FALSE)*C80</f>
        <v>1598</v>
      </c>
      <c r="E80">
        <f>(VLOOKUP(B80,PRODUCTS!A:E,4,FALSE) - VLOOKUP(B80,PRODUCTS!A:E,5,FALSE)) * C80</f>
        <v>798</v>
      </c>
      <c r="G80" s="1">
        <v>45670</v>
      </c>
    </row>
    <row r="81" spans="1:7" x14ac:dyDescent="0.35">
      <c r="A81">
        <v>183</v>
      </c>
      <c r="B81">
        <v>12</v>
      </c>
      <c r="C81">
        <v>1</v>
      </c>
      <c r="D81">
        <f>VLOOKUP(B81,PRODUCTS!A:E,4,FALSE)*C81</f>
        <v>1199</v>
      </c>
      <c r="E81">
        <f>(VLOOKUP(B81,PRODUCTS!A:E,4,FALSE) - VLOOKUP(B81,PRODUCTS!A:E,5,FALSE)) * C81</f>
        <v>499</v>
      </c>
      <c r="G81" s="1">
        <v>45730</v>
      </c>
    </row>
    <row r="82" spans="1:7" x14ac:dyDescent="0.35">
      <c r="A82">
        <v>39</v>
      </c>
      <c r="B82">
        <v>14</v>
      </c>
      <c r="C82">
        <v>4</v>
      </c>
      <c r="D82">
        <f>VLOOKUP(B82,PRODUCTS!A:E,4,FALSE)*C82</f>
        <v>2796</v>
      </c>
      <c r="E82">
        <f>(VLOOKUP(B82,PRODUCTS!A:E,4,FALSE) - VLOOKUP(B82,PRODUCTS!A:E,5,FALSE)) * C82</f>
        <v>1396</v>
      </c>
      <c r="G82" s="1">
        <v>45771</v>
      </c>
    </row>
    <row r="83" spans="1:7" x14ac:dyDescent="0.35">
      <c r="A83">
        <v>143</v>
      </c>
      <c r="B83">
        <v>6</v>
      </c>
      <c r="C83">
        <v>1</v>
      </c>
      <c r="D83">
        <f>VLOOKUP(B83,PRODUCTS!A:E,4,FALSE)*C83</f>
        <v>699</v>
      </c>
      <c r="E83">
        <f>(VLOOKUP(B83,PRODUCTS!A:E,4,FALSE) - VLOOKUP(B83,PRODUCTS!A:E,5,FALSE)) * C83</f>
        <v>349</v>
      </c>
      <c r="G83" s="1">
        <v>45731</v>
      </c>
    </row>
    <row r="84" spans="1:7" x14ac:dyDescent="0.35">
      <c r="A84">
        <v>127</v>
      </c>
      <c r="B84">
        <v>5</v>
      </c>
      <c r="C84">
        <v>3</v>
      </c>
      <c r="D84">
        <f>VLOOKUP(B84,PRODUCTS!A:E,4,FALSE)*C84</f>
        <v>1197</v>
      </c>
      <c r="E84">
        <f>(VLOOKUP(B84,PRODUCTS!A:E,4,FALSE) - VLOOKUP(B84,PRODUCTS!A:E,5,FALSE)) * C84</f>
        <v>597</v>
      </c>
      <c r="G84" s="1">
        <v>45734</v>
      </c>
    </row>
    <row r="85" spans="1:7" x14ac:dyDescent="0.35">
      <c r="A85">
        <v>20</v>
      </c>
      <c r="B85">
        <v>8</v>
      </c>
      <c r="C85">
        <v>5</v>
      </c>
      <c r="D85">
        <f>VLOOKUP(B85,PRODUCTS!A:E,4,FALSE)*C85</f>
        <v>2995</v>
      </c>
      <c r="E85">
        <f>(VLOOKUP(B85,PRODUCTS!A:E,4,FALSE) - VLOOKUP(B85,PRODUCTS!A:E,5,FALSE)) * C85</f>
        <v>1495</v>
      </c>
      <c r="G85" s="1">
        <v>45764</v>
      </c>
    </row>
    <row r="86" spans="1:7" x14ac:dyDescent="0.35">
      <c r="A86">
        <v>47</v>
      </c>
      <c r="B86">
        <v>14</v>
      </c>
      <c r="C86">
        <v>3</v>
      </c>
      <c r="D86">
        <f>VLOOKUP(B86,PRODUCTS!A:E,4,FALSE)*C86</f>
        <v>2097</v>
      </c>
      <c r="E86">
        <f>(VLOOKUP(B86,PRODUCTS!A:E,4,FALSE) - VLOOKUP(B86,PRODUCTS!A:E,5,FALSE)) * C86</f>
        <v>1047</v>
      </c>
      <c r="G86" s="1">
        <v>45721</v>
      </c>
    </row>
    <row r="87" spans="1:7" x14ac:dyDescent="0.35">
      <c r="A87">
        <v>133</v>
      </c>
      <c r="B87">
        <v>18</v>
      </c>
      <c r="C87">
        <v>1</v>
      </c>
      <c r="D87">
        <f>VLOOKUP(B87,PRODUCTS!A:E,4,FALSE)*C87</f>
        <v>799</v>
      </c>
      <c r="E87">
        <f>(VLOOKUP(B87,PRODUCTS!A:E,4,FALSE) - VLOOKUP(B87,PRODUCTS!A:E,5,FALSE)) * C87</f>
        <v>349</v>
      </c>
      <c r="G87" s="1">
        <v>45962</v>
      </c>
    </row>
    <row r="88" spans="1:7" x14ac:dyDescent="0.35">
      <c r="A88">
        <v>47</v>
      </c>
      <c r="B88">
        <v>1</v>
      </c>
      <c r="C88">
        <v>1</v>
      </c>
      <c r="D88">
        <f>VLOOKUP(B88,PRODUCTS!A:E,4,FALSE)*C88</f>
        <v>499</v>
      </c>
      <c r="E88">
        <f>(VLOOKUP(B88,PRODUCTS!A:E,4,FALSE) - VLOOKUP(B88,PRODUCTS!A:E,5,FALSE)) * C88</f>
        <v>249</v>
      </c>
      <c r="G88" s="1">
        <v>45948</v>
      </c>
    </row>
    <row r="89" spans="1:7" x14ac:dyDescent="0.35">
      <c r="A89">
        <v>107</v>
      </c>
      <c r="B89">
        <v>18</v>
      </c>
      <c r="C89">
        <v>1</v>
      </c>
      <c r="D89">
        <f>VLOOKUP(B89,PRODUCTS!A:E,4,FALSE)*C89</f>
        <v>799</v>
      </c>
      <c r="E89">
        <f>(VLOOKUP(B89,PRODUCTS!A:E,4,FALSE) - VLOOKUP(B89,PRODUCTS!A:E,5,FALSE)) * C89</f>
        <v>349</v>
      </c>
      <c r="G89" s="1">
        <v>45916</v>
      </c>
    </row>
    <row r="90" spans="1:7" x14ac:dyDescent="0.35">
      <c r="A90">
        <v>189</v>
      </c>
      <c r="B90">
        <v>20</v>
      </c>
      <c r="C90">
        <v>3</v>
      </c>
      <c r="D90">
        <f>VLOOKUP(B90,PRODUCTS!A:E,4,FALSE)*C90</f>
        <v>4197</v>
      </c>
      <c r="E90">
        <f>(VLOOKUP(B90,PRODUCTS!A:E,4,FALSE) - VLOOKUP(B90,PRODUCTS!A:E,5,FALSE)) * C90</f>
        <v>1647</v>
      </c>
      <c r="G90" s="1">
        <v>45771</v>
      </c>
    </row>
    <row r="91" spans="1:7" x14ac:dyDescent="0.35">
      <c r="A91">
        <v>170</v>
      </c>
      <c r="B91">
        <v>9</v>
      </c>
      <c r="C91">
        <v>5</v>
      </c>
      <c r="D91">
        <f>VLOOKUP(B91,PRODUCTS!A:E,4,FALSE)*C91</f>
        <v>4495</v>
      </c>
      <c r="E91">
        <f>(VLOOKUP(B91,PRODUCTS!A:E,4,FALSE) - VLOOKUP(B91,PRODUCTS!A:E,5,FALSE)) * C91</f>
        <v>1995</v>
      </c>
      <c r="G91" s="1">
        <v>45997</v>
      </c>
    </row>
    <row r="92" spans="1:7" x14ac:dyDescent="0.35">
      <c r="A92">
        <v>4</v>
      </c>
      <c r="B92">
        <v>16</v>
      </c>
      <c r="C92">
        <v>2</v>
      </c>
      <c r="D92">
        <f>VLOOKUP(B92,PRODUCTS!A:E,4,FALSE)*C92</f>
        <v>1198</v>
      </c>
      <c r="E92">
        <f>(VLOOKUP(B92,PRODUCTS!A:E,4,FALSE) - VLOOKUP(B92,PRODUCTS!A:E,5,FALSE)) * C92</f>
        <v>598</v>
      </c>
      <c r="G92" s="1">
        <v>45716</v>
      </c>
    </row>
    <row r="93" spans="1:7" x14ac:dyDescent="0.35">
      <c r="A93">
        <v>142</v>
      </c>
      <c r="B93">
        <v>10</v>
      </c>
      <c r="C93">
        <v>4</v>
      </c>
      <c r="D93">
        <f>VLOOKUP(B93,PRODUCTS!A:E,4,FALSE)*C93</f>
        <v>6396</v>
      </c>
      <c r="E93">
        <f>(VLOOKUP(B93,PRODUCTS!A:E,4,FALSE) - VLOOKUP(B93,PRODUCTS!A:E,5,FALSE)) * C93</f>
        <v>2596</v>
      </c>
      <c r="G93" s="1">
        <v>45950</v>
      </c>
    </row>
    <row r="94" spans="1:7" x14ac:dyDescent="0.35">
      <c r="A94">
        <v>168</v>
      </c>
      <c r="B94">
        <v>24</v>
      </c>
      <c r="C94">
        <v>3</v>
      </c>
      <c r="D94">
        <f>VLOOKUP(B94,PRODUCTS!A:E,4,FALSE)*C94</f>
        <v>2097</v>
      </c>
      <c r="E94">
        <f>(VLOOKUP(B94,PRODUCTS!A:E,4,FALSE) - VLOOKUP(B94,PRODUCTS!A:E,5,FALSE)) * C94</f>
        <v>1047</v>
      </c>
      <c r="G94" s="1">
        <v>45931</v>
      </c>
    </row>
    <row r="95" spans="1:7" x14ac:dyDescent="0.35">
      <c r="A95">
        <v>164</v>
      </c>
      <c r="B95">
        <v>12</v>
      </c>
      <c r="C95">
        <v>3</v>
      </c>
      <c r="D95">
        <f>VLOOKUP(B95,PRODUCTS!A:E,4,FALSE)*C95</f>
        <v>3597</v>
      </c>
      <c r="E95">
        <f>(VLOOKUP(B95,PRODUCTS!A:E,4,FALSE) - VLOOKUP(B95,PRODUCTS!A:E,5,FALSE)) * C95</f>
        <v>1497</v>
      </c>
      <c r="G95" s="1">
        <v>45943</v>
      </c>
    </row>
    <row r="96" spans="1:7" x14ac:dyDescent="0.35">
      <c r="A96">
        <v>28</v>
      </c>
      <c r="B96">
        <v>9</v>
      </c>
      <c r="C96">
        <v>5</v>
      </c>
      <c r="D96">
        <f>VLOOKUP(B96,PRODUCTS!A:E,4,FALSE)*C96</f>
        <v>4495</v>
      </c>
      <c r="E96">
        <f>(VLOOKUP(B96,PRODUCTS!A:E,4,FALSE) - VLOOKUP(B96,PRODUCTS!A:E,5,FALSE)) * C96</f>
        <v>1995</v>
      </c>
      <c r="G96" s="1">
        <v>45892</v>
      </c>
    </row>
    <row r="97" spans="1:7" x14ac:dyDescent="0.35">
      <c r="A97">
        <v>151</v>
      </c>
      <c r="B97">
        <v>15</v>
      </c>
      <c r="C97">
        <v>1</v>
      </c>
      <c r="D97">
        <f>VLOOKUP(B97,PRODUCTS!A:E,4,FALSE)*C97</f>
        <v>1499</v>
      </c>
      <c r="E97">
        <f>(VLOOKUP(B97,PRODUCTS!A:E,4,FALSE) - VLOOKUP(B97,PRODUCTS!A:E,5,FALSE)) * C97</f>
        <v>599</v>
      </c>
      <c r="G97" s="1">
        <v>45672</v>
      </c>
    </row>
    <row r="98" spans="1:7" x14ac:dyDescent="0.35">
      <c r="A98">
        <v>199</v>
      </c>
      <c r="B98">
        <v>22</v>
      </c>
      <c r="C98">
        <v>5</v>
      </c>
      <c r="D98">
        <f>VLOOKUP(B98,PRODUCTS!A:E,4,FALSE)*C98</f>
        <v>1745</v>
      </c>
      <c r="E98">
        <f>(VLOOKUP(B98,PRODUCTS!A:E,4,FALSE) - VLOOKUP(B98,PRODUCTS!A:E,5,FALSE)) * C98</f>
        <v>845</v>
      </c>
      <c r="G98" s="1">
        <v>45796</v>
      </c>
    </row>
    <row r="99" spans="1:7" x14ac:dyDescent="0.35">
      <c r="A99">
        <v>46</v>
      </c>
      <c r="B99">
        <v>10</v>
      </c>
      <c r="C99">
        <v>5</v>
      </c>
      <c r="D99">
        <f>VLOOKUP(B99,PRODUCTS!A:E,4,FALSE)*C99</f>
        <v>7995</v>
      </c>
      <c r="E99">
        <f>(VLOOKUP(B99,PRODUCTS!A:E,4,FALSE) - VLOOKUP(B99,PRODUCTS!A:E,5,FALSE)) * C99</f>
        <v>3245</v>
      </c>
      <c r="G99" s="1">
        <v>45909</v>
      </c>
    </row>
    <row r="100" spans="1:7" x14ac:dyDescent="0.35">
      <c r="A100">
        <v>156</v>
      </c>
      <c r="B100">
        <v>3</v>
      </c>
      <c r="C100">
        <v>4</v>
      </c>
      <c r="D100">
        <f>VLOOKUP(B100,PRODUCTS!A:E,4,FALSE)*C100</f>
        <v>3196</v>
      </c>
      <c r="E100">
        <f>(VLOOKUP(B100,PRODUCTS!A:E,4,FALSE) - VLOOKUP(B100,PRODUCTS!A:E,5,FALSE)) * C100</f>
        <v>1396</v>
      </c>
      <c r="G100" s="1">
        <v>45681</v>
      </c>
    </row>
    <row r="101" spans="1:7" x14ac:dyDescent="0.35">
      <c r="A101">
        <v>177</v>
      </c>
      <c r="B101">
        <v>9</v>
      </c>
      <c r="C101">
        <v>1</v>
      </c>
      <c r="D101">
        <f>VLOOKUP(B101,PRODUCTS!A:E,4,FALSE)*C101</f>
        <v>899</v>
      </c>
      <c r="E101">
        <f>(VLOOKUP(B101,PRODUCTS!A:E,4,FALSE) - VLOOKUP(B101,PRODUCTS!A:E,5,FALSE)) * C101</f>
        <v>399</v>
      </c>
      <c r="G101" s="1">
        <v>45968</v>
      </c>
    </row>
    <row r="102" spans="1:7" x14ac:dyDescent="0.35">
      <c r="A102">
        <v>95</v>
      </c>
      <c r="B102">
        <v>6</v>
      </c>
      <c r="C102">
        <v>2</v>
      </c>
      <c r="D102">
        <f>VLOOKUP(B102,PRODUCTS!A:E,4,FALSE)*C102</f>
        <v>1398</v>
      </c>
      <c r="E102">
        <f>(VLOOKUP(B102,PRODUCTS!A:E,4,FALSE) - VLOOKUP(B102,PRODUCTS!A:E,5,FALSE)) * C102</f>
        <v>698</v>
      </c>
      <c r="G102" s="1">
        <v>46002</v>
      </c>
    </row>
    <row r="103" spans="1:7" x14ac:dyDescent="0.35">
      <c r="A103">
        <v>149</v>
      </c>
      <c r="B103">
        <v>3</v>
      </c>
      <c r="C103">
        <v>3</v>
      </c>
      <c r="D103">
        <f>VLOOKUP(B103,PRODUCTS!A:E,4,FALSE)*C103</f>
        <v>2397</v>
      </c>
      <c r="E103">
        <f>(VLOOKUP(B103,PRODUCTS!A:E,4,FALSE) - VLOOKUP(B103,PRODUCTS!A:E,5,FALSE)) * C103</f>
        <v>1047</v>
      </c>
      <c r="G103" s="1">
        <v>45702</v>
      </c>
    </row>
    <row r="104" spans="1:7" x14ac:dyDescent="0.35">
      <c r="A104">
        <v>85</v>
      </c>
      <c r="B104">
        <v>8</v>
      </c>
      <c r="C104">
        <v>5</v>
      </c>
      <c r="D104">
        <f>VLOOKUP(B104,PRODUCTS!A:E,4,FALSE)*C104</f>
        <v>2995</v>
      </c>
      <c r="E104">
        <f>(VLOOKUP(B104,PRODUCTS!A:E,4,FALSE) - VLOOKUP(B104,PRODUCTS!A:E,5,FALSE)) * C104</f>
        <v>1495</v>
      </c>
      <c r="G104" s="1">
        <v>45965</v>
      </c>
    </row>
    <row r="105" spans="1:7" x14ac:dyDescent="0.35">
      <c r="A105">
        <v>60</v>
      </c>
      <c r="B105">
        <v>14</v>
      </c>
      <c r="C105">
        <v>3</v>
      </c>
      <c r="D105">
        <f>VLOOKUP(B105,PRODUCTS!A:E,4,FALSE)*C105</f>
        <v>2097</v>
      </c>
      <c r="E105">
        <f>(VLOOKUP(B105,PRODUCTS!A:E,4,FALSE) - VLOOKUP(B105,PRODUCTS!A:E,5,FALSE)) * C105</f>
        <v>1047</v>
      </c>
      <c r="G105" s="1">
        <v>45918</v>
      </c>
    </row>
    <row r="106" spans="1:7" x14ac:dyDescent="0.35">
      <c r="A106">
        <v>113</v>
      </c>
      <c r="B106">
        <v>14</v>
      </c>
      <c r="C106">
        <v>5</v>
      </c>
      <c r="D106">
        <f>VLOOKUP(B106,PRODUCTS!A:E,4,FALSE)*C106</f>
        <v>3495</v>
      </c>
      <c r="E106">
        <f>(VLOOKUP(B106,PRODUCTS!A:E,4,FALSE) - VLOOKUP(B106,PRODUCTS!A:E,5,FALSE)) * C106</f>
        <v>1745</v>
      </c>
      <c r="G106" s="1">
        <v>45676</v>
      </c>
    </row>
    <row r="107" spans="1:7" x14ac:dyDescent="0.35">
      <c r="A107">
        <v>92</v>
      </c>
      <c r="B107">
        <v>15</v>
      </c>
      <c r="C107">
        <v>1</v>
      </c>
      <c r="D107">
        <f>VLOOKUP(B107,PRODUCTS!A:E,4,FALSE)*C107</f>
        <v>1499</v>
      </c>
      <c r="E107">
        <f>(VLOOKUP(B107,PRODUCTS!A:E,4,FALSE) - VLOOKUP(B107,PRODUCTS!A:E,5,FALSE)) * C107</f>
        <v>599</v>
      </c>
      <c r="G107" s="1">
        <v>45673</v>
      </c>
    </row>
    <row r="108" spans="1:7" x14ac:dyDescent="0.35">
      <c r="A108">
        <v>12</v>
      </c>
      <c r="B108">
        <v>18</v>
      </c>
      <c r="C108">
        <v>1</v>
      </c>
      <c r="D108">
        <f>VLOOKUP(B108,PRODUCTS!A:E,4,FALSE)*C108</f>
        <v>799</v>
      </c>
      <c r="E108">
        <f>(VLOOKUP(B108,PRODUCTS!A:E,4,FALSE) - VLOOKUP(B108,PRODUCTS!A:E,5,FALSE)) * C108</f>
        <v>349</v>
      </c>
      <c r="G108" s="1">
        <v>45911</v>
      </c>
    </row>
    <row r="109" spans="1:7" x14ac:dyDescent="0.35">
      <c r="A109">
        <v>70</v>
      </c>
      <c r="B109">
        <v>4</v>
      </c>
      <c r="C109">
        <v>5</v>
      </c>
      <c r="D109">
        <f>VLOOKUP(B109,PRODUCTS!A:E,4,FALSE)*C109</f>
        <v>5995</v>
      </c>
      <c r="E109">
        <f>(VLOOKUP(B109,PRODUCTS!A:E,4,FALSE) - VLOOKUP(B109,PRODUCTS!A:E,5,FALSE)) * C109</f>
        <v>2495</v>
      </c>
      <c r="G109" s="1">
        <v>45680</v>
      </c>
    </row>
    <row r="110" spans="1:7" x14ac:dyDescent="0.35">
      <c r="A110">
        <v>132</v>
      </c>
      <c r="B110">
        <v>8</v>
      </c>
      <c r="C110">
        <v>4</v>
      </c>
      <c r="D110">
        <f>VLOOKUP(B110,PRODUCTS!A:E,4,FALSE)*C110</f>
        <v>2396</v>
      </c>
      <c r="E110">
        <f>(VLOOKUP(B110,PRODUCTS!A:E,4,FALSE) - VLOOKUP(B110,PRODUCTS!A:E,5,FALSE)) * C110</f>
        <v>1196</v>
      </c>
      <c r="G110" s="1">
        <v>45722</v>
      </c>
    </row>
    <row r="111" spans="1:7" x14ac:dyDescent="0.35">
      <c r="A111">
        <v>194</v>
      </c>
      <c r="B111">
        <v>23</v>
      </c>
      <c r="C111">
        <v>2</v>
      </c>
      <c r="D111">
        <f>VLOOKUP(B111,PRODUCTS!A:E,4,FALSE)*C111</f>
        <v>1198</v>
      </c>
      <c r="E111">
        <f>(VLOOKUP(B111,PRODUCTS!A:E,4,FALSE) - VLOOKUP(B111,PRODUCTS!A:E,5,FALSE)) * C111</f>
        <v>598</v>
      </c>
      <c r="G111" s="1">
        <v>45852</v>
      </c>
    </row>
    <row r="112" spans="1:7" x14ac:dyDescent="0.35">
      <c r="A112">
        <v>200</v>
      </c>
      <c r="B112">
        <v>4</v>
      </c>
      <c r="C112">
        <v>2</v>
      </c>
      <c r="D112">
        <f>VLOOKUP(B112,PRODUCTS!A:E,4,FALSE)*C112</f>
        <v>2398</v>
      </c>
      <c r="E112">
        <f>(VLOOKUP(B112,PRODUCTS!A:E,4,FALSE) - VLOOKUP(B112,PRODUCTS!A:E,5,FALSE)) * C112</f>
        <v>998</v>
      </c>
      <c r="G112" s="1">
        <v>45987</v>
      </c>
    </row>
    <row r="113" spans="1:7" x14ac:dyDescent="0.35">
      <c r="A113">
        <v>25</v>
      </c>
      <c r="B113">
        <v>3</v>
      </c>
      <c r="C113">
        <v>5</v>
      </c>
      <c r="D113">
        <f>VLOOKUP(B113,PRODUCTS!A:E,4,FALSE)*C113</f>
        <v>3995</v>
      </c>
      <c r="E113">
        <f>(VLOOKUP(B113,PRODUCTS!A:E,4,FALSE) - VLOOKUP(B113,PRODUCTS!A:E,5,FALSE)) * C113</f>
        <v>1745</v>
      </c>
      <c r="G113" s="1">
        <v>45894</v>
      </c>
    </row>
    <row r="114" spans="1:7" x14ac:dyDescent="0.35">
      <c r="A114">
        <v>120</v>
      </c>
      <c r="B114">
        <v>16</v>
      </c>
      <c r="C114">
        <v>4</v>
      </c>
      <c r="D114">
        <f>VLOOKUP(B114,PRODUCTS!A:E,4,FALSE)*C114</f>
        <v>2396</v>
      </c>
      <c r="E114">
        <f>(VLOOKUP(B114,PRODUCTS!A:E,4,FALSE) - VLOOKUP(B114,PRODUCTS!A:E,5,FALSE)) * C114</f>
        <v>1196</v>
      </c>
      <c r="G114" s="1">
        <v>45811</v>
      </c>
    </row>
    <row r="115" spans="1:7" x14ac:dyDescent="0.35">
      <c r="A115">
        <v>197</v>
      </c>
      <c r="B115">
        <v>5</v>
      </c>
      <c r="C115">
        <v>5</v>
      </c>
      <c r="D115">
        <f>VLOOKUP(B115,PRODUCTS!A:E,4,FALSE)*C115</f>
        <v>1995</v>
      </c>
      <c r="E115">
        <f>(VLOOKUP(B115,PRODUCTS!A:E,4,FALSE) - VLOOKUP(B115,PRODUCTS!A:E,5,FALSE)) * C115</f>
        <v>995</v>
      </c>
      <c r="G115" s="1">
        <v>45774</v>
      </c>
    </row>
    <row r="116" spans="1:7" x14ac:dyDescent="0.35">
      <c r="A116">
        <v>180</v>
      </c>
      <c r="B116">
        <v>24</v>
      </c>
      <c r="C116">
        <v>2</v>
      </c>
      <c r="D116">
        <f>VLOOKUP(B116,PRODUCTS!A:E,4,FALSE)*C116</f>
        <v>1398</v>
      </c>
      <c r="E116">
        <f>(VLOOKUP(B116,PRODUCTS!A:E,4,FALSE) - VLOOKUP(B116,PRODUCTS!A:E,5,FALSE)) * C116</f>
        <v>698</v>
      </c>
      <c r="G116" s="1">
        <v>46004</v>
      </c>
    </row>
    <row r="117" spans="1:7" x14ac:dyDescent="0.35">
      <c r="A117">
        <v>97</v>
      </c>
      <c r="B117">
        <v>22</v>
      </c>
      <c r="C117">
        <v>4</v>
      </c>
      <c r="D117">
        <f>VLOOKUP(B117,PRODUCTS!A:E,4,FALSE)*C117</f>
        <v>1396</v>
      </c>
      <c r="E117">
        <f>(VLOOKUP(B117,PRODUCTS!A:E,4,FALSE) - VLOOKUP(B117,PRODUCTS!A:E,5,FALSE)) * C117</f>
        <v>676</v>
      </c>
      <c r="G117" s="1">
        <v>46000</v>
      </c>
    </row>
    <row r="118" spans="1:7" x14ac:dyDescent="0.35">
      <c r="A118">
        <v>106</v>
      </c>
      <c r="B118">
        <v>7</v>
      </c>
      <c r="C118">
        <v>4</v>
      </c>
      <c r="D118">
        <f>VLOOKUP(B118,PRODUCTS!A:E,4,FALSE)*C118</f>
        <v>5996</v>
      </c>
      <c r="E118">
        <f>(VLOOKUP(B118,PRODUCTS!A:E,4,FALSE) - VLOOKUP(B118,PRODUCTS!A:E,5,FALSE)) * C118</f>
        <v>2396</v>
      </c>
      <c r="G118" s="1">
        <v>45680</v>
      </c>
    </row>
    <row r="119" spans="1:7" x14ac:dyDescent="0.35">
      <c r="A119">
        <v>177</v>
      </c>
      <c r="B119">
        <v>19</v>
      </c>
      <c r="C119">
        <v>1</v>
      </c>
      <c r="D119">
        <f>VLOOKUP(B119,PRODUCTS!A:E,4,FALSE)*C119</f>
        <v>1299</v>
      </c>
      <c r="E119">
        <f>(VLOOKUP(B119,PRODUCTS!A:E,4,FALSE) - VLOOKUP(B119,PRODUCTS!A:E,5,FALSE)) * C119</f>
        <v>499</v>
      </c>
      <c r="G119" s="1">
        <v>45684</v>
      </c>
    </row>
    <row r="120" spans="1:7" x14ac:dyDescent="0.35">
      <c r="A120">
        <v>141</v>
      </c>
      <c r="B120">
        <v>12</v>
      </c>
      <c r="C120">
        <v>5</v>
      </c>
      <c r="D120">
        <f>VLOOKUP(B120,PRODUCTS!A:E,4,FALSE)*C120</f>
        <v>5995</v>
      </c>
      <c r="E120">
        <f>(VLOOKUP(B120,PRODUCTS!A:E,4,FALSE) - VLOOKUP(B120,PRODUCTS!A:E,5,FALSE)) * C120</f>
        <v>2495</v>
      </c>
      <c r="G120" s="1">
        <v>45734</v>
      </c>
    </row>
    <row r="121" spans="1:7" x14ac:dyDescent="0.35">
      <c r="A121">
        <v>80</v>
      </c>
      <c r="B121">
        <v>15</v>
      </c>
      <c r="C121">
        <v>5</v>
      </c>
      <c r="D121">
        <f>VLOOKUP(B121,PRODUCTS!A:E,4,FALSE)*C121</f>
        <v>7495</v>
      </c>
      <c r="E121">
        <f>(VLOOKUP(B121,PRODUCTS!A:E,4,FALSE) - VLOOKUP(B121,PRODUCTS!A:E,5,FALSE)) * C121</f>
        <v>2995</v>
      </c>
      <c r="G121" s="1">
        <v>45903</v>
      </c>
    </row>
    <row r="122" spans="1:7" x14ac:dyDescent="0.35">
      <c r="A122">
        <v>61</v>
      </c>
      <c r="B122">
        <v>25</v>
      </c>
      <c r="C122">
        <v>2</v>
      </c>
      <c r="D122">
        <f>VLOOKUP(B122,PRODUCTS!A:E,4,FALSE)*C122</f>
        <v>1598</v>
      </c>
      <c r="E122">
        <f>(VLOOKUP(B122,PRODUCTS!A:E,4,FALSE) - VLOOKUP(B122,PRODUCTS!A:E,5,FALSE)) * C122</f>
        <v>798</v>
      </c>
      <c r="G122" s="1">
        <v>45910</v>
      </c>
    </row>
    <row r="123" spans="1:7" x14ac:dyDescent="0.35">
      <c r="A123">
        <v>168</v>
      </c>
      <c r="B123">
        <v>25</v>
      </c>
      <c r="C123">
        <v>5</v>
      </c>
      <c r="D123">
        <f>VLOOKUP(B123,PRODUCTS!A:E,4,FALSE)*C123</f>
        <v>3995</v>
      </c>
      <c r="E123">
        <f>(VLOOKUP(B123,PRODUCTS!A:E,4,FALSE) - VLOOKUP(B123,PRODUCTS!A:E,5,FALSE)) * C123</f>
        <v>1995</v>
      </c>
      <c r="G123" s="1">
        <v>45726</v>
      </c>
    </row>
    <row r="124" spans="1:7" x14ac:dyDescent="0.35">
      <c r="A124">
        <v>198</v>
      </c>
      <c r="B124">
        <v>24</v>
      </c>
      <c r="C124">
        <v>2</v>
      </c>
      <c r="D124">
        <f>VLOOKUP(B124,PRODUCTS!A:E,4,FALSE)*C124</f>
        <v>1398</v>
      </c>
      <c r="E124">
        <f>(VLOOKUP(B124,PRODUCTS!A:E,4,FALSE) - VLOOKUP(B124,PRODUCTS!A:E,5,FALSE)) * C124</f>
        <v>698</v>
      </c>
      <c r="G124" s="1">
        <v>45841</v>
      </c>
    </row>
    <row r="125" spans="1:7" x14ac:dyDescent="0.35">
      <c r="A125">
        <v>26</v>
      </c>
      <c r="B125">
        <v>17</v>
      </c>
      <c r="C125">
        <v>2</v>
      </c>
      <c r="D125">
        <f>VLOOKUP(B125,PRODUCTS!A:E,4,FALSE)*C125</f>
        <v>798</v>
      </c>
      <c r="E125">
        <f>(VLOOKUP(B125,PRODUCTS!A:E,4,FALSE) - VLOOKUP(B125,PRODUCTS!A:E,5,FALSE)) * C125</f>
        <v>398</v>
      </c>
      <c r="G125" s="1">
        <v>45940</v>
      </c>
    </row>
    <row r="126" spans="1:7" x14ac:dyDescent="0.35">
      <c r="A126">
        <v>75</v>
      </c>
      <c r="B126">
        <v>9</v>
      </c>
      <c r="C126">
        <v>4</v>
      </c>
      <c r="D126">
        <f>VLOOKUP(B126,PRODUCTS!A:E,4,FALSE)*C126</f>
        <v>3596</v>
      </c>
      <c r="E126">
        <f>(VLOOKUP(B126,PRODUCTS!A:E,4,FALSE) - VLOOKUP(B126,PRODUCTS!A:E,5,FALSE)) * C126</f>
        <v>1596</v>
      </c>
      <c r="G126" s="1">
        <v>45874</v>
      </c>
    </row>
    <row r="127" spans="1:7" x14ac:dyDescent="0.35">
      <c r="A127">
        <v>92</v>
      </c>
      <c r="B127">
        <v>20</v>
      </c>
      <c r="C127">
        <v>1</v>
      </c>
      <c r="D127">
        <f>VLOOKUP(B127,PRODUCTS!A:E,4,FALSE)*C127</f>
        <v>1399</v>
      </c>
      <c r="E127">
        <f>(VLOOKUP(B127,PRODUCTS!A:E,4,FALSE) - VLOOKUP(B127,PRODUCTS!A:E,5,FALSE)) * C127</f>
        <v>549</v>
      </c>
      <c r="G127" s="1">
        <v>45903</v>
      </c>
    </row>
    <row r="128" spans="1:7" x14ac:dyDescent="0.35">
      <c r="A128">
        <v>104</v>
      </c>
      <c r="B128">
        <v>20</v>
      </c>
      <c r="C128">
        <v>5</v>
      </c>
      <c r="D128">
        <f>VLOOKUP(B128,PRODUCTS!A:E,4,FALSE)*C128</f>
        <v>6995</v>
      </c>
      <c r="E128">
        <f>(VLOOKUP(B128,PRODUCTS!A:E,4,FALSE) - VLOOKUP(B128,PRODUCTS!A:E,5,FALSE)) * C128</f>
        <v>2745</v>
      </c>
      <c r="G128" s="1">
        <v>45893</v>
      </c>
    </row>
    <row r="129" spans="1:7" x14ac:dyDescent="0.35">
      <c r="A129">
        <v>167</v>
      </c>
      <c r="B129">
        <v>6</v>
      </c>
      <c r="C129">
        <v>4</v>
      </c>
      <c r="D129">
        <f>VLOOKUP(B129,PRODUCTS!A:E,4,FALSE)*C129</f>
        <v>2796</v>
      </c>
      <c r="E129">
        <f>(VLOOKUP(B129,PRODUCTS!A:E,4,FALSE) - VLOOKUP(B129,PRODUCTS!A:E,5,FALSE)) * C129</f>
        <v>1396</v>
      </c>
      <c r="G129" s="1">
        <v>45893</v>
      </c>
    </row>
    <row r="130" spans="1:7" x14ac:dyDescent="0.35">
      <c r="A130">
        <v>140</v>
      </c>
      <c r="B130">
        <v>4</v>
      </c>
      <c r="C130">
        <v>5</v>
      </c>
      <c r="D130">
        <f>VLOOKUP(B130,PRODUCTS!A:E,4,FALSE)*C130</f>
        <v>5995</v>
      </c>
      <c r="E130">
        <f>(VLOOKUP(B130,PRODUCTS!A:E,4,FALSE) - VLOOKUP(B130,PRODUCTS!A:E,5,FALSE)) * C130</f>
        <v>2495</v>
      </c>
      <c r="G130" s="1">
        <v>46013</v>
      </c>
    </row>
    <row r="131" spans="1:7" x14ac:dyDescent="0.35">
      <c r="A131">
        <v>173</v>
      </c>
      <c r="B131">
        <v>8</v>
      </c>
      <c r="C131">
        <v>2</v>
      </c>
      <c r="D131">
        <f>VLOOKUP(B131,PRODUCTS!A:E,4,FALSE)*C131</f>
        <v>1198</v>
      </c>
      <c r="E131">
        <f>(VLOOKUP(B131,PRODUCTS!A:E,4,FALSE) - VLOOKUP(B131,PRODUCTS!A:E,5,FALSE)) * C131</f>
        <v>598</v>
      </c>
      <c r="G131" s="1">
        <v>46010</v>
      </c>
    </row>
    <row r="132" spans="1:7" x14ac:dyDescent="0.35">
      <c r="A132">
        <v>67</v>
      </c>
      <c r="B132">
        <v>4</v>
      </c>
      <c r="C132">
        <v>4</v>
      </c>
      <c r="D132">
        <f>VLOOKUP(B132,PRODUCTS!A:E,4,FALSE)*C132</f>
        <v>4796</v>
      </c>
      <c r="E132">
        <f>(VLOOKUP(B132,PRODUCTS!A:E,4,FALSE) - VLOOKUP(B132,PRODUCTS!A:E,5,FALSE)) * C132</f>
        <v>1996</v>
      </c>
      <c r="G132" s="1">
        <v>45937</v>
      </c>
    </row>
    <row r="133" spans="1:7" x14ac:dyDescent="0.35">
      <c r="A133">
        <v>138</v>
      </c>
      <c r="B133">
        <v>9</v>
      </c>
      <c r="C133">
        <v>1</v>
      </c>
      <c r="D133">
        <f>VLOOKUP(B133,PRODUCTS!A:E,4,FALSE)*C133</f>
        <v>899</v>
      </c>
      <c r="E133">
        <f>(VLOOKUP(B133,PRODUCTS!A:E,4,FALSE) - VLOOKUP(B133,PRODUCTS!A:E,5,FALSE)) * C133</f>
        <v>399</v>
      </c>
      <c r="G133" s="1">
        <v>45721</v>
      </c>
    </row>
    <row r="134" spans="1:7" x14ac:dyDescent="0.35">
      <c r="A134">
        <v>97</v>
      </c>
      <c r="B134">
        <v>15</v>
      </c>
      <c r="C134">
        <v>5</v>
      </c>
      <c r="D134">
        <f>VLOOKUP(B134,PRODUCTS!A:E,4,FALSE)*C134</f>
        <v>7495</v>
      </c>
      <c r="E134">
        <f>(VLOOKUP(B134,PRODUCTS!A:E,4,FALSE) - VLOOKUP(B134,PRODUCTS!A:E,5,FALSE)) * C134</f>
        <v>2995</v>
      </c>
      <c r="G134" s="1">
        <v>46015</v>
      </c>
    </row>
    <row r="135" spans="1:7" x14ac:dyDescent="0.35">
      <c r="A135">
        <v>109</v>
      </c>
      <c r="B135">
        <v>24</v>
      </c>
      <c r="C135">
        <v>2</v>
      </c>
      <c r="D135">
        <f>VLOOKUP(B135,PRODUCTS!A:E,4,FALSE)*C135</f>
        <v>1398</v>
      </c>
      <c r="E135">
        <f>(VLOOKUP(B135,PRODUCTS!A:E,4,FALSE) - VLOOKUP(B135,PRODUCTS!A:E,5,FALSE)) * C135</f>
        <v>698</v>
      </c>
      <c r="G135" s="1">
        <v>45858</v>
      </c>
    </row>
    <row r="136" spans="1:7" x14ac:dyDescent="0.35">
      <c r="A136">
        <v>126</v>
      </c>
      <c r="B136">
        <v>8</v>
      </c>
      <c r="C136">
        <v>3</v>
      </c>
      <c r="D136">
        <f>VLOOKUP(B136,PRODUCTS!A:E,4,FALSE)*C136</f>
        <v>1797</v>
      </c>
      <c r="E136">
        <f>(VLOOKUP(B136,PRODUCTS!A:E,4,FALSE) - VLOOKUP(B136,PRODUCTS!A:E,5,FALSE)) * C136</f>
        <v>897</v>
      </c>
      <c r="G136" s="1">
        <v>45859</v>
      </c>
    </row>
    <row r="137" spans="1:7" x14ac:dyDescent="0.35">
      <c r="A137">
        <v>117</v>
      </c>
      <c r="B137">
        <v>14</v>
      </c>
      <c r="C137">
        <v>3</v>
      </c>
      <c r="D137">
        <f>VLOOKUP(B137,PRODUCTS!A:E,4,FALSE)*C137</f>
        <v>2097</v>
      </c>
      <c r="E137">
        <f>(VLOOKUP(B137,PRODUCTS!A:E,4,FALSE) - VLOOKUP(B137,PRODUCTS!A:E,5,FALSE)) * C137</f>
        <v>1047</v>
      </c>
      <c r="G137" s="1">
        <v>45711</v>
      </c>
    </row>
    <row r="138" spans="1:7" x14ac:dyDescent="0.35">
      <c r="A138">
        <v>100</v>
      </c>
      <c r="B138">
        <v>8</v>
      </c>
      <c r="C138">
        <v>1</v>
      </c>
      <c r="D138">
        <f>VLOOKUP(B138,PRODUCTS!A:E,4,FALSE)*C138</f>
        <v>599</v>
      </c>
      <c r="E138">
        <f>(VLOOKUP(B138,PRODUCTS!A:E,4,FALSE) - VLOOKUP(B138,PRODUCTS!A:E,5,FALSE)) * C138</f>
        <v>299</v>
      </c>
      <c r="G138" s="1">
        <v>45785</v>
      </c>
    </row>
    <row r="139" spans="1:7" x14ac:dyDescent="0.35">
      <c r="A139">
        <v>41</v>
      </c>
      <c r="B139">
        <v>22</v>
      </c>
      <c r="C139">
        <v>3</v>
      </c>
      <c r="D139">
        <f>VLOOKUP(B139,PRODUCTS!A:E,4,FALSE)*C139</f>
        <v>1047</v>
      </c>
      <c r="E139">
        <f>(VLOOKUP(B139,PRODUCTS!A:E,4,FALSE) - VLOOKUP(B139,PRODUCTS!A:E,5,FALSE)) * C139</f>
        <v>507</v>
      </c>
      <c r="G139" s="1">
        <v>45716</v>
      </c>
    </row>
    <row r="140" spans="1:7" x14ac:dyDescent="0.35">
      <c r="A140">
        <v>80</v>
      </c>
      <c r="B140">
        <v>23</v>
      </c>
      <c r="C140">
        <v>4</v>
      </c>
      <c r="D140">
        <f>VLOOKUP(B140,PRODUCTS!A:E,4,FALSE)*C140</f>
        <v>2396</v>
      </c>
      <c r="E140">
        <f>(VLOOKUP(B140,PRODUCTS!A:E,4,FALSE) - VLOOKUP(B140,PRODUCTS!A:E,5,FALSE)) * C140</f>
        <v>1196</v>
      </c>
      <c r="G140" s="1">
        <v>45773</v>
      </c>
    </row>
    <row r="141" spans="1:7" x14ac:dyDescent="0.35">
      <c r="A141">
        <v>32</v>
      </c>
      <c r="B141">
        <v>24</v>
      </c>
      <c r="C141">
        <v>3</v>
      </c>
      <c r="D141">
        <f>VLOOKUP(B141,PRODUCTS!A:E,4,FALSE)*C141</f>
        <v>2097</v>
      </c>
      <c r="E141">
        <f>(VLOOKUP(B141,PRODUCTS!A:E,4,FALSE) - VLOOKUP(B141,PRODUCTS!A:E,5,FALSE)) * C141</f>
        <v>1047</v>
      </c>
      <c r="G141" s="1">
        <v>45669</v>
      </c>
    </row>
    <row r="142" spans="1:7" x14ac:dyDescent="0.35">
      <c r="A142">
        <v>19</v>
      </c>
      <c r="B142">
        <v>1</v>
      </c>
      <c r="C142">
        <v>2</v>
      </c>
      <c r="D142">
        <f>VLOOKUP(B142,PRODUCTS!A:E,4,FALSE)*C142</f>
        <v>998</v>
      </c>
      <c r="E142">
        <f>(VLOOKUP(B142,PRODUCTS!A:E,4,FALSE) - VLOOKUP(B142,PRODUCTS!A:E,5,FALSE)) * C142</f>
        <v>498</v>
      </c>
      <c r="G142" s="1">
        <v>45904</v>
      </c>
    </row>
    <row r="143" spans="1:7" x14ac:dyDescent="0.35">
      <c r="A143">
        <v>96</v>
      </c>
      <c r="B143">
        <v>21</v>
      </c>
      <c r="C143">
        <v>3</v>
      </c>
      <c r="D143">
        <f>VLOOKUP(B143,PRODUCTS!A:E,4,FALSE)*C143</f>
        <v>897</v>
      </c>
      <c r="E143">
        <f>(VLOOKUP(B143,PRODUCTS!A:E,4,FALSE) - VLOOKUP(B143,PRODUCTS!A:E,5,FALSE)) * C143</f>
        <v>447</v>
      </c>
      <c r="G143" s="1">
        <v>45948</v>
      </c>
    </row>
    <row r="144" spans="1:7" x14ac:dyDescent="0.35">
      <c r="A144">
        <v>162</v>
      </c>
      <c r="B144">
        <v>3</v>
      </c>
      <c r="C144">
        <v>3</v>
      </c>
      <c r="D144">
        <f>VLOOKUP(B144,PRODUCTS!A:E,4,FALSE)*C144</f>
        <v>2397</v>
      </c>
      <c r="E144">
        <f>(VLOOKUP(B144,PRODUCTS!A:E,4,FALSE) - VLOOKUP(B144,PRODUCTS!A:E,5,FALSE)) * C144</f>
        <v>1047</v>
      </c>
      <c r="G144" s="1">
        <v>45917</v>
      </c>
    </row>
    <row r="145" spans="1:7" x14ac:dyDescent="0.35">
      <c r="A145">
        <v>109</v>
      </c>
      <c r="B145">
        <v>14</v>
      </c>
      <c r="C145">
        <v>3</v>
      </c>
      <c r="D145">
        <f>VLOOKUP(B145,PRODUCTS!A:E,4,FALSE)*C145</f>
        <v>2097</v>
      </c>
      <c r="E145">
        <f>(VLOOKUP(B145,PRODUCTS!A:E,4,FALSE) - VLOOKUP(B145,PRODUCTS!A:E,5,FALSE)) * C145</f>
        <v>1047</v>
      </c>
      <c r="G145" s="1">
        <v>45826</v>
      </c>
    </row>
    <row r="146" spans="1:7" x14ac:dyDescent="0.35">
      <c r="A146">
        <v>200</v>
      </c>
      <c r="B146">
        <v>17</v>
      </c>
      <c r="C146">
        <v>3</v>
      </c>
      <c r="D146">
        <f>VLOOKUP(B146,PRODUCTS!A:E,4,FALSE)*C146</f>
        <v>1197</v>
      </c>
      <c r="E146">
        <f>(VLOOKUP(B146,PRODUCTS!A:E,4,FALSE) - VLOOKUP(B146,PRODUCTS!A:E,5,FALSE)) * C146</f>
        <v>597</v>
      </c>
      <c r="G146" s="1">
        <v>45774</v>
      </c>
    </row>
    <row r="147" spans="1:7" x14ac:dyDescent="0.35">
      <c r="A147">
        <v>126</v>
      </c>
      <c r="B147">
        <v>9</v>
      </c>
      <c r="C147">
        <v>3</v>
      </c>
      <c r="D147">
        <f>VLOOKUP(B147,PRODUCTS!A:E,4,FALSE)*C147</f>
        <v>2697</v>
      </c>
      <c r="E147">
        <f>(VLOOKUP(B147,PRODUCTS!A:E,4,FALSE) - VLOOKUP(B147,PRODUCTS!A:E,5,FALSE)) * C147</f>
        <v>1197</v>
      </c>
      <c r="G147" s="1">
        <v>45816</v>
      </c>
    </row>
    <row r="148" spans="1:7" x14ac:dyDescent="0.35">
      <c r="A148">
        <v>159</v>
      </c>
      <c r="B148">
        <v>8</v>
      </c>
      <c r="C148">
        <v>5</v>
      </c>
      <c r="D148">
        <f>VLOOKUP(B148,PRODUCTS!A:E,4,FALSE)*C148</f>
        <v>2995</v>
      </c>
      <c r="E148">
        <f>(VLOOKUP(B148,PRODUCTS!A:E,4,FALSE) - VLOOKUP(B148,PRODUCTS!A:E,5,FALSE)) * C148</f>
        <v>1495</v>
      </c>
      <c r="G148" s="1">
        <v>45725</v>
      </c>
    </row>
    <row r="149" spans="1:7" x14ac:dyDescent="0.35">
      <c r="A149">
        <v>91</v>
      </c>
      <c r="B149">
        <v>6</v>
      </c>
      <c r="C149">
        <v>4</v>
      </c>
      <c r="D149">
        <f>VLOOKUP(B149,PRODUCTS!A:E,4,FALSE)*C149</f>
        <v>2796</v>
      </c>
      <c r="E149">
        <f>(VLOOKUP(B149,PRODUCTS!A:E,4,FALSE) - VLOOKUP(B149,PRODUCTS!A:E,5,FALSE)) * C149</f>
        <v>1396</v>
      </c>
      <c r="G149" s="1">
        <v>45663</v>
      </c>
    </row>
    <row r="150" spans="1:7" x14ac:dyDescent="0.35">
      <c r="A150">
        <v>117</v>
      </c>
      <c r="B150">
        <v>10</v>
      </c>
      <c r="C150">
        <v>3</v>
      </c>
      <c r="D150">
        <f>VLOOKUP(B150,PRODUCTS!A:E,4,FALSE)*C150</f>
        <v>4797</v>
      </c>
      <c r="E150">
        <f>(VLOOKUP(B150,PRODUCTS!A:E,4,FALSE) - VLOOKUP(B150,PRODUCTS!A:E,5,FALSE)) * C150</f>
        <v>1947</v>
      </c>
      <c r="G150" s="1">
        <v>45952</v>
      </c>
    </row>
    <row r="151" spans="1:7" x14ac:dyDescent="0.35">
      <c r="A151">
        <v>196</v>
      </c>
      <c r="B151">
        <v>14</v>
      </c>
      <c r="C151">
        <v>4</v>
      </c>
      <c r="D151">
        <f>VLOOKUP(B151,PRODUCTS!A:E,4,FALSE)*C151</f>
        <v>2796</v>
      </c>
      <c r="E151">
        <f>(VLOOKUP(B151,PRODUCTS!A:E,4,FALSE) - VLOOKUP(B151,PRODUCTS!A:E,5,FALSE)) * C151</f>
        <v>1396</v>
      </c>
      <c r="G151" s="1">
        <v>45989</v>
      </c>
    </row>
    <row r="152" spans="1:7" x14ac:dyDescent="0.35">
      <c r="A152">
        <v>169</v>
      </c>
      <c r="B152">
        <v>23</v>
      </c>
      <c r="C152">
        <v>2</v>
      </c>
      <c r="D152">
        <f>VLOOKUP(B152,PRODUCTS!A:E,4,FALSE)*C152</f>
        <v>1198</v>
      </c>
      <c r="E152">
        <f>(VLOOKUP(B152,PRODUCTS!A:E,4,FALSE) - VLOOKUP(B152,PRODUCTS!A:E,5,FALSE)) * C152</f>
        <v>598</v>
      </c>
      <c r="G152" s="1">
        <v>45947</v>
      </c>
    </row>
    <row r="153" spans="1:7" x14ac:dyDescent="0.35">
      <c r="A153">
        <v>64</v>
      </c>
      <c r="B153">
        <v>25</v>
      </c>
      <c r="C153">
        <v>1</v>
      </c>
      <c r="D153">
        <f>VLOOKUP(B153,PRODUCTS!A:E,4,FALSE)*C153</f>
        <v>799</v>
      </c>
      <c r="E153">
        <f>(VLOOKUP(B153,PRODUCTS!A:E,4,FALSE) - VLOOKUP(B153,PRODUCTS!A:E,5,FALSE)) * C153</f>
        <v>399</v>
      </c>
      <c r="G153" s="1">
        <v>45831</v>
      </c>
    </row>
    <row r="154" spans="1:7" x14ac:dyDescent="0.35">
      <c r="A154">
        <v>176</v>
      </c>
      <c r="B154">
        <v>21</v>
      </c>
      <c r="C154">
        <v>5</v>
      </c>
      <c r="D154">
        <f>VLOOKUP(B154,PRODUCTS!A:E,4,FALSE)*C154</f>
        <v>1495</v>
      </c>
      <c r="E154">
        <f>(VLOOKUP(B154,PRODUCTS!A:E,4,FALSE) - VLOOKUP(B154,PRODUCTS!A:E,5,FALSE)) * C154</f>
        <v>745</v>
      </c>
      <c r="G154" s="1">
        <v>45767</v>
      </c>
    </row>
    <row r="155" spans="1:7" x14ac:dyDescent="0.35">
      <c r="A155">
        <v>15</v>
      </c>
      <c r="B155">
        <v>15</v>
      </c>
      <c r="C155">
        <v>4</v>
      </c>
      <c r="D155">
        <f>VLOOKUP(B155,PRODUCTS!A:E,4,FALSE)*C155</f>
        <v>5996</v>
      </c>
      <c r="E155">
        <f>(VLOOKUP(B155,PRODUCTS!A:E,4,FALSE) - VLOOKUP(B155,PRODUCTS!A:E,5,FALSE)) * C155</f>
        <v>2396</v>
      </c>
      <c r="G155" s="1">
        <v>45913</v>
      </c>
    </row>
    <row r="156" spans="1:7" x14ac:dyDescent="0.35">
      <c r="A156">
        <v>83</v>
      </c>
      <c r="B156">
        <v>23</v>
      </c>
      <c r="C156">
        <v>4</v>
      </c>
      <c r="D156">
        <f>VLOOKUP(B156,PRODUCTS!A:E,4,FALSE)*C156</f>
        <v>2396</v>
      </c>
      <c r="E156">
        <f>(VLOOKUP(B156,PRODUCTS!A:E,4,FALSE) - VLOOKUP(B156,PRODUCTS!A:E,5,FALSE)) * C156</f>
        <v>1196</v>
      </c>
      <c r="G156" s="1">
        <v>45836</v>
      </c>
    </row>
    <row r="157" spans="1:7" x14ac:dyDescent="0.35">
      <c r="A157">
        <v>28</v>
      </c>
      <c r="B157">
        <v>1</v>
      </c>
      <c r="C157">
        <v>5</v>
      </c>
      <c r="D157">
        <f>VLOOKUP(B157,PRODUCTS!A:E,4,FALSE)*C157</f>
        <v>2495</v>
      </c>
      <c r="E157">
        <f>(VLOOKUP(B157,PRODUCTS!A:E,4,FALSE) - VLOOKUP(B157,PRODUCTS!A:E,5,FALSE)) * C157</f>
        <v>1245</v>
      </c>
      <c r="G157" s="1">
        <v>45934</v>
      </c>
    </row>
    <row r="158" spans="1:7" x14ac:dyDescent="0.35">
      <c r="A158">
        <v>7</v>
      </c>
      <c r="B158">
        <v>9</v>
      </c>
      <c r="C158">
        <v>4</v>
      </c>
      <c r="D158">
        <f>VLOOKUP(B158,PRODUCTS!A:E,4,FALSE)*C158</f>
        <v>3596</v>
      </c>
      <c r="E158">
        <f>(VLOOKUP(B158,PRODUCTS!A:E,4,FALSE) - VLOOKUP(B158,PRODUCTS!A:E,5,FALSE)) * C158</f>
        <v>1596</v>
      </c>
      <c r="G158" s="1">
        <v>45966</v>
      </c>
    </row>
    <row r="159" spans="1:7" x14ac:dyDescent="0.35">
      <c r="A159">
        <v>125</v>
      </c>
      <c r="B159">
        <v>23</v>
      </c>
      <c r="C159">
        <v>1</v>
      </c>
      <c r="D159">
        <f>VLOOKUP(B159,PRODUCTS!A:E,4,FALSE)*C159</f>
        <v>599</v>
      </c>
      <c r="E159">
        <f>(VLOOKUP(B159,PRODUCTS!A:E,4,FALSE) - VLOOKUP(B159,PRODUCTS!A:E,5,FALSE)) * C159</f>
        <v>299</v>
      </c>
      <c r="G159" s="1">
        <v>45996</v>
      </c>
    </row>
    <row r="160" spans="1:7" x14ac:dyDescent="0.35">
      <c r="A160">
        <v>110</v>
      </c>
      <c r="B160">
        <v>7</v>
      </c>
      <c r="C160">
        <v>5</v>
      </c>
      <c r="D160">
        <f>VLOOKUP(B160,PRODUCTS!A:E,4,FALSE)*C160</f>
        <v>7495</v>
      </c>
      <c r="E160">
        <f>(VLOOKUP(B160,PRODUCTS!A:E,4,FALSE) - VLOOKUP(B160,PRODUCTS!A:E,5,FALSE)) * C160</f>
        <v>2995</v>
      </c>
      <c r="G160" s="1">
        <v>45920</v>
      </c>
    </row>
    <row r="161" spans="1:7" x14ac:dyDescent="0.35">
      <c r="A161">
        <v>135</v>
      </c>
      <c r="B161">
        <v>18</v>
      </c>
      <c r="C161">
        <v>5</v>
      </c>
      <c r="D161">
        <f>VLOOKUP(B161,PRODUCTS!A:E,4,FALSE)*C161</f>
        <v>3995</v>
      </c>
      <c r="E161">
        <f>(VLOOKUP(B161,PRODUCTS!A:E,4,FALSE) - VLOOKUP(B161,PRODUCTS!A:E,5,FALSE)) * C161</f>
        <v>1745</v>
      </c>
      <c r="G161" s="1">
        <v>45662</v>
      </c>
    </row>
    <row r="162" spans="1:7" x14ac:dyDescent="0.35">
      <c r="A162">
        <v>50</v>
      </c>
      <c r="B162">
        <v>24</v>
      </c>
      <c r="C162">
        <v>1</v>
      </c>
      <c r="D162">
        <f>VLOOKUP(B162,PRODUCTS!A:E,4,FALSE)*C162</f>
        <v>699</v>
      </c>
      <c r="E162">
        <f>(VLOOKUP(B162,PRODUCTS!A:E,4,FALSE) - VLOOKUP(B162,PRODUCTS!A:E,5,FALSE)) * C162</f>
        <v>349</v>
      </c>
      <c r="G162" s="1">
        <v>45768</v>
      </c>
    </row>
    <row r="163" spans="1:7" x14ac:dyDescent="0.35">
      <c r="A163">
        <v>102</v>
      </c>
      <c r="B163">
        <v>22</v>
      </c>
      <c r="C163">
        <v>4</v>
      </c>
      <c r="D163">
        <f>VLOOKUP(B163,PRODUCTS!A:E,4,FALSE)*C163</f>
        <v>1396</v>
      </c>
      <c r="E163">
        <f>(VLOOKUP(B163,PRODUCTS!A:E,4,FALSE) - VLOOKUP(B163,PRODUCTS!A:E,5,FALSE)) * C163</f>
        <v>676</v>
      </c>
      <c r="G163" s="1">
        <v>45689</v>
      </c>
    </row>
    <row r="164" spans="1:7" x14ac:dyDescent="0.35">
      <c r="A164">
        <v>117</v>
      </c>
      <c r="B164">
        <v>23</v>
      </c>
      <c r="C164">
        <v>1</v>
      </c>
      <c r="D164">
        <f>VLOOKUP(B164,PRODUCTS!A:E,4,FALSE)*C164</f>
        <v>599</v>
      </c>
      <c r="E164">
        <f>(VLOOKUP(B164,PRODUCTS!A:E,4,FALSE) - VLOOKUP(B164,PRODUCTS!A:E,5,FALSE)) * C164</f>
        <v>299</v>
      </c>
      <c r="G164" s="1">
        <v>45965</v>
      </c>
    </row>
    <row r="165" spans="1:7" x14ac:dyDescent="0.35">
      <c r="A165">
        <v>95</v>
      </c>
      <c r="B165">
        <v>22</v>
      </c>
      <c r="C165">
        <v>3</v>
      </c>
      <c r="D165">
        <f>VLOOKUP(B165,PRODUCTS!A:E,4,FALSE)*C165</f>
        <v>1047</v>
      </c>
      <c r="E165">
        <f>(VLOOKUP(B165,PRODUCTS!A:E,4,FALSE) - VLOOKUP(B165,PRODUCTS!A:E,5,FALSE)) * C165</f>
        <v>507</v>
      </c>
      <c r="G165" s="1">
        <v>45723</v>
      </c>
    </row>
    <row r="166" spans="1:7" x14ac:dyDescent="0.35">
      <c r="A166">
        <v>192</v>
      </c>
      <c r="B166">
        <v>2</v>
      </c>
      <c r="C166">
        <v>4</v>
      </c>
      <c r="D166">
        <f>VLOOKUP(B166,PRODUCTS!A:E,4,FALSE)*C166</f>
        <v>3996</v>
      </c>
      <c r="E166">
        <f>(VLOOKUP(B166,PRODUCTS!A:E,4,FALSE) - VLOOKUP(B166,PRODUCTS!A:E,5,FALSE)) * C166</f>
        <v>1596</v>
      </c>
      <c r="G166" s="1">
        <v>45767</v>
      </c>
    </row>
    <row r="167" spans="1:7" x14ac:dyDescent="0.35">
      <c r="A167">
        <v>151</v>
      </c>
      <c r="B167">
        <v>14</v>
      </c>
      <c r="C167">
        <v>2</v>
      </c>
      <c r="D167">
        <f>VLOOKUP(B167,PRODUCTS!A:E,4,FALSE)*C167</f>
        <v>1398</v>
      </c>
      <c r="E167">
        <f>(VLOOKUP(B167,PRODUCTS!A:E,4,FALSE) - VLOOKUP(B167,PRODUCTS!A:E,5,FALSE)) * C167</f>
        <v>698</v>
      </c>
      <c r="G167" s="1">
        <v>45677</v>
      </c>
    </row>
    <row r="168" spans="1:7" x14ac:dyDescent="0.35">
      <c r="A168">
        <v>75</v>
      </c>
      <c r="B168">
        <v>24</v>
      </c>
      <c r="C168">
        <v>5</v>
      </c>
      <c r="D168">
        <f>VLOOKUP(B168,PRODUCTS!A:E,4,FALSE)*C168</f>
        <v>3495</v>
      </c>
      <c r="E168">
        <f>(VLOOKUP(B168,PRODUCTS!A:E,4,FALSE) - VLOOKUP(B168,PRODUCTS!A:E,5,FALSE)) * C168</f>
        <v>1745</v>
      </c>
      <c r="G168" s="1">
        <v>45696</v>
      </c>
    </row>
    <row r="169" spans="1:7" x14ac:dyDescent="0.35">
      <c r="A169">
        <v>75</v>
      </c>
      <c r="B169">
        <v>20</v>
      </c>
      <c r="C169">
        <v>4</v>
      </c>
      <c r="D169">
        <f>VLOOKUP(B169,PRODUCTS!A:E,4,FALSE)*C169</f>
        <v>5596</v>
      </c>
      <c r="E169">
        <f>(VLOOKUP(B169,PRODUCTS!A:E,4,FALSE) - VLOOKUP(B169,PRODUCTS!A:E,5,FALSE)) * C169</f>
        <v>2196</v>
      </c>
      <c r="G169" s="1">
        <v>45727</v>
      </c>
    </row>
    <row r="170" spans="1:7" x14ac:dyDescent="0.35">
      <c r="A170">
        <v>170</v>
      </c>
      <c r="B170">
        <v>19</v>
      </c>
      <c r="C170">
        <v>4</v>
      </c>
      <c r="D170">
        <f>VLOOKUP(B170,PRODUCTS!A:E,4,FALSE)*C170</f>
        <v>5196</v>
      </c>
      <c r="E170">
        <f>(VLOOKUP(B170,PRODUCTS!A:E,4,FALSE) - VLOOKUP(B170,PRODUCTS!A:E,5,FALSE)) * C170</f>
        <v>1996</v>
      </c>
      <c r="G170" s="1">
        <v>45785</v>
      </c>
    </row>
    <row r="171" spans="1:7" x14ac:dyDescent="0.35">
      <c r="A171">
        <v>199</v>
      </c>
      <c r="B171">
        <v>23</v>
      </c>
      <c r="C171">
        <v>2</v>
      </c>
      <c r="D171">
        <f>VLOOKUP(B171,PRODUCTS!A:E,4,FALSE)*C171</f>
        <v>1198</v>
      </c>
      <c r="E171">
        <f>(VLOOKUP(B171,PRODUCTS!A:E,4,FALSE) - VLOOKUP(B171,PRODUCTS!A:E,5,FALSE)) * C171</f>
        <v>598</v>
      </c>
      <c r="G171" s="1">
        <v>45737</v>
      </c>
    </row>
    <row r="172" spans="1:7" x14ac:dyDescent="0.35">
      <c r="A172">
        <v>6</v>
      </c>
      <c r="B172">
        <v>19</v>
      </c>
      <c r="C172">
        <v>4</v>
      </c>
      <c r="D172">
        <f>VLOOKUP(B172,PRODUCTS!A:E,4,FALSE)*C172</f>
        <v>5196</v>
      </c>
      <c r="E172">
        <f>(VLOOKUP(B172,PRODUCTS!A:E,4,FALSE) - VLOOKUP(B172,PRODUCTS!A:E,5,FALSE)) * C172</f>
        <v>1996</v>
      </c>
      <c r="G172" s="1">
        <v>45894</v>
      </c>
    </row>
    <row r="173" spans="1:7" x14ac:dyDescent="0.35">
      <c r="A173">
        <v>94</v>
      </c>
      <c r="B173">
        <v>19</v>
      </c>
      <c r="C173">
        <v>5</v>
      </c>
      <c r="D173">
        <f>VLOOKUP(B173,PRODUCTS!A:E,4,FALSE)*C173</f>
        <v>6495</v>
      </c>
      <c r="E173">
        <f>(VLOOKUP(B173,PRODUCTS!A:E,4,FALSE) - VLOOKUP(B173,PRODUCTS!A:E,5,FALSE)) * C173</f>
        <v>2495</v>
      </c>
      <c r="G173" s="1">
        <v>45845</v>
      </c>
    </row>
    <row r="174" spans="1:7" x14ac:dyDescent="0.35">
      <c r="A174">
        <v>111</v>
      </c>
      <c r="B174">
        <v>14</v>
      </c>
      <c r="C174">
        <v>1</v>
      </c>
      <c r="D174">
        <f>VLOOKUP(B174,PRODUCTS!A:E,4,FALSE)*C174</f>
        <v>699</v>
      </c>
      <c r="E174">
        <f>(VLOOKUP(B174,PRODUCTS!A:E,4,FALSE) - VLOOKUP(B174,PRODUCTS!A:E,5,FALSE)) * C174</f>
        <v>349</v>
      </c>
      <c r="G174" s="1">
        <v>45860</v>
      </c>
    </row>
    <row r="175" spans="1:7" x14ac:dyDescent="0.35">
      <c r="A175">
        <v>31</v>
      </c>
      <c r="B175">
        <v>24</v>
      </c>
      <c r="C175">
        <v>5</v>
      </c>
      <c r="D175">
        <f>VLOOKUP(B175,PRODUCTS!A:E,4,FALSE)*C175</f>
        <v>3495</v>
      </c>
      <c r="E175">
        <f>(VLOOKUP(B175,PRODUCTS!A:E,4,FALSE) - VLOOKUP(B175,PRODUCTS!A:E,5,FALSE)) * C175</f>
        <v>1745</v>
      </c>
      <c r="G175" s="1">
        <v>45902</v>
      </c>
    </row>
    <row r="176" spans="1:7" x14ac:dyDescent="0.35">
      <c r="A176">
        <v>7</v>
      </c>
      <c r="B176">
        <v>8</v>
      </c>
      <c r="C176">
        <v>4</v>
      </c>
      <c r="D176">
        <f>VLOOKUP(B176,PRODUCTS!A:E,4,FALSE)*C176</f>
        <v>2396</v>
      </c>
      <c r="E176">
        <f>(VLOOKUP(B176,PRODUCTS!A:E,4,FALSE) - VLOOKUP(B176,PRODUCTS!A:E,5,FALSE)) * C176</f>
        <v>1196</v>
      </c>
      <c r="G176" s="1">
        <v>45877</v>
      </c>
    </row>
    <row r="177" spans="1:7" x14ac:dyDescent="0.35">
      <c r="A177">
        <v>141</v>
      </c>
      <c r="B177">
        <v>23</v>
      </c>
      <c r="C177">
        <v>5</v>
      </c>
      <c r="D177">
        <f>VLOOKUP(B177,PRODUCTS!A:E,4,FALSE)*C177</f>
        <v>2995</v>
      </c>
      <c r="E177">
        <f>(VLOOKUP(B177,PRODUCTS!A:E,4,FALSE) - VLOOKUP(B177,PRODUCTS!A:E,5,FALSE)) * C177</f>
        <v>1495</v>
      </c>
      <c r="G177" s="1">
        <v>45764</v>
      </c>
    </row>
    <row r="178" spans="1:7" x14ac:dyDescent="0.35">
      <c r="A178">
        <v>80</v>
      </c>
      <c r="B178">
        <v>8</v>
      </c>
      <c r="C178">
        <v>2</v>
      </c>
      <c r="D178">
        <f>VLOOKUP(B178,PRODUCTS!A:E,4,FALSE)*C178</f>
        <v>1198</v>
      </c>
      <c r="E178">
        <f>(VLOOKUP(B178,PRODUCTS!A:E,4,FALSE) - VLOOKUP(B178,PRODUCTS!A:E,5,FALSE)) * C178</f>
        <v>598</v>
      </c>
      <c r="G178" s="1">
        <v>45922</v>
      </c>
    </row>
    <row r="179" spans="1:7" x14ac:dyDescent="0.35">
      <c r="A179">
        <v>147</v>
      </c>
      <c r="B179">
        <v>5</v>
      </c>
      <c r="C179">
        <v>4</v>
      </c>
      <c r="D179">
        <f>VLOOKUP(B179,PRODUCTS!A:E,4,FALSE)*C179</f>
        <v>1596</v>
      </c>
      <c r="E179">
        <f>(VLOOKUP(B179,PRODUCTS!A:E,4,FALSE) - VLOOKUP(B179,PRODUCTS!A:E,5,FALSE)) * C179</f>
        <v>796</v>
      </c>
      <c r="G179" s="1">
        <v>45753</v>
      </c>
    </row>
    <row r="180" spans="1:7" x14ac:dyDescent="0.35">
      <c r="A180">
        <v>144</v>
      </c>
      <c r="B180">
        <v>15</v>
      </c>
      <c r="C180">
        <v>4</v>
      </c>
      <c r="D180">
        <f>VLOOKUP(B180,PRODUCTS!A:E,4,FALSE)*C180</f>
        <v>5996</v>
      </c>
      <c r="E180">
        <f>(VLOOKUP(B180,PRODUCTS!A:E,4,FALSE) - VLOOKUP(B180,PRODUCTS!A:E,5,FALSE)) * C180</f>
        <v>2396</v>
      </c>
      <c r="G180" s="1">
        <v>45794</v>
      </c>
    </row>
    <row r="181" spans="1:7" x14ac:dyDescent="0.35">
      <c r="A181">
        <v>50</v>
      </c>
      <c r="B181">
        <v>23</v>
      </c>
      <c r="C181">
        <v>5</v>
      </c>
      <c r="D181">
        <f>VLOOKUP(B181,PRODUCTS!A:E,4,FALSE)*C181</f>
        <v>2995</v>
      </c>
      <c r="E181">
        <f>(VLOOKUP(B181,PRODUCTS!A:E,4,FALSE) - VLOOKUP(B181,PRODUCTS!A:E,5,FALSE)) * C181</f>
        <v>1495</v>
      </c>
      <c r="G181" s="1">
        <v>45936</v>
      </c>
    </row>
    <row r="182" spans="1:7" x14ac:dyDescent="0.35">
      <c r="A182">
        <v>188</v>
      </c>
      <c r="B182">
        <v>14</v>
      </c>
      <c r="C182">
        <v>5</v>
      </c>
      <c r="D182">
        <f>VLOOKUP(B182,PRODUCTS!A:E,4,FALSE)*C182</f>
        <v>3495</v>
      </c>
      <c r="E182">
        <f>(VLOOKUP(B182,PRODUCTS!A:E,4,FALSE) - VLOOKUP(B182,PRODUCTS!A:E,5,FALSE)) * C182</f>
        <v>1745</v>
      </c>
      <c r="G182" s="1">
        <v>45879</v>
      </c>
    </row>
    <row r="183" spans="1:7" x14ac:dyDescent="0.35">
      <c r="A183">
        <v>96</v>
      </c>
      <c r="B183">
        <v>22</v>
      </c>
      <c r="C183">
        <v>3</v>
      </c>
      <c r="D183">
        <f>VLOOKUP(B183,PRODUCTS!A:E,4,FALSE)*C183</f>
        <v>1047</v>
      </c>
      <c r="E183">
        <f>(VLOOKUP(B183,PRODUCTS!A:E,4,FALSE) - VLOOKUP(B183,PRODUCTS!A:E,5,FALSE)) * C183</f>
        <v>507</v>
      </c>
      <c r="G183" s="1">
        <v>45866</v>
      </c>
    </row>
    <row r="184" spans="1:7" x14ac:dyDescent="0.35">
      <c r="A184">
        <v>116</v>
      </c>
      <c r="B184">
        <v>8</v>
      </c>
      <c r="C184">
        <v>1</v>
      </c>
      <c r="D184">
        <f>VLOOKUP(B184,PRODUCTS!A:E,4,FALSE)*C184</f>
        <v>599</v>
      </c>
      <c r="E184">
        <f>(VLOOKUP(B184,PRODUCTS!A:E,4,FALSE) - VLOOKUP(B184,PRODUCTS!A:E,5,FALSE)) * C184</f>
        <v>299</v>
      </c>
      <c r="G184" s="1">
        <v>45758</v>
      </c>
    </row>
    <row r="185" spans="1:7" x14ac:dyDescent="0.35">
      <c r="A185">
        <v>172</v>
      </c>
      <c r="B185">
        <v>8</v>
      </c>
      <c r="C185">
        <v>3</v>
      </c>
      <c r="D185">
        <f>VLOOKUP(B185,PRODUCTS!A:E,4,FALSE)*C185</f>
        <v>1797</v>
      </c>
      <c r="E185">
        <f>(VLOOKUP(B185,PRODUCTS!A:E,4,FALSE) - VLOOKUP(B185,PRODUCTS!A:E,5,FALSE)) * C185</f>
        <v>897</v>
      </c>
      <c r="G185" s="1">
        <v>45876</v>
      </c>
    </row>
    <row r="186" spans="1:7" x14ac:dyDescent="0.35">
      <c r="A186">
        <v>180</v>
      </c>
      <c r="B186">
        <v>23</v>
      </c>
      <c r="C186">
        <v>5</v>
      </c>
      <c r="D186">
        <f>VLOOKUP(B186,PRODUCTS!A:E,4,FALSE)*C186</f>
        <v>2995</v>
      </c>
      <c r="E186">
        <f>(VLOOKUP(B186,PRODUCTS!A:E,4,FALSE) - VLOOKUP(B186,PRODUCTS!A:E,5,FALSE)) * C186</f>
        <v>1495</v>
      </c>
      <c r="G186" s="1">
        <v>45791</v>
      </c>
    </row>
    <row r="187" spans="1:7" x14ac:dyDescent="0.35">
      <c r="A187">
        <v>8</v>
      </c>
      <c r="B187">
        <v>23</v>
      </c>
      <c r="C187">
        <v>3</v>
      </c>
      <c r="D187">
        <f>VLOOKUP(B187,PRODUCTS!A:E,4,FALSE)*C187</f>
        <v>1797</v>
      </c>
      <c r="E187">
        <f>(VLOOKUP(B187,PRODUCTS!A:E,4,FALSE) - VLOOKUP(B187,PRODUCTS!A:E,5,FALSE)) * C187</f>
        <v>897</v>
      </c>
      <c r="G187" s="1">
        <v>45768</v>
      </c>
    </row>
    <row r="188" spans="1:7" x14ac:dyDescent="0.35">
      <c r="A188">
        <v>185</v>
      </c>
      <c r="B188">
        <v>23</v>
      </c>
      <c r="C188">
        <v>3</v>
      </c>
      <c r="D188">
        <f>VLOOKUP(B188,PRODUCTS!A:E,4,FALSE)*C188</f>
        <v>1797</v>
      </c>
      <c r="E188">
        <f>(VLOOKUP(B188,PRODUCTS!A:E,4,FALSE) - VLOOKUP(B188,PRODUCTS!A:E,5,FALSE)) * C188</f>
        <v>897</v>
      </c>
      <c r="G188" s="1">
        <v>45934</v>
      </c>
    </row>
    <row r="189" spans="1:7" x14ac:dyDescent="0.35">
      <c r="A189">
        <v>3</v>
      </c>
      <c r="B189">
        <v>22</v>
      </c>
      <c r="C189">
        <v>2</v>
      </c>
      <c r="D189">
        <f>VLOOKUP(B189,PRODUCTS!A:E,4,FALSE)*C189</f>
        <v>698</v>
      </c>
      <c r="E189">
        <f>(VLOOKUP(B189,PRODUCTS!A:E,4,FALSE) - VLOOKUP(B189,PRODUCTS!A:E,5,FALSE)) * C189</f>
        <v>338</v>
      </c>
      <c r="G189" s="1">
        <v>45667</v>
      </c>
    </row>
    <row r="190" spans="1:7" x14ac:dyDescent="0.35">
      <c r="A190">
        <v>36</v>
      </c>
      <c r="B190">
        <v>25</v>
      </c>
      <c r="C190">
        <v>4</v>
      </c>
      <c r="D190">
        <f>VLOOKUP(B190,PRODUCTS!A:E,4,FALSE)*C190</f>
        <v>3196</v>
      </c>
      <c r="E190">
        <f>(VLOOKUP(B190,PRODUCTS!A:E,4,FALSE) - VLOOKUP(B190,PRODUCTS!A:E,5,FALSE)) * C190</f>
        <v>1596</v>
      </c>
      <c r="G190" s="1">
        <v>45724</v>
      </c>
    </row>
    <row r="191" spans="1:7" x14ac:dyDescent="0.35">
      <c r="A191">
        <v>47</v>
      </c>
      <c r="B191">
        <v>24</v>
      </c>
      <c r="C191">
        <v>4</v>
      </c>
      <c r="D191">
        <f>VLOOKUP(B191,PRODUCTS!A:E,4,FALSE)*C191</f>
        <v>2796</v>
      </c>
      <c r="E191">
        <f>(VLOOKUP(B191,PRODUCTS!A:E,4,FALSE) - VLOOKUP(B191,PRODUCTS!A:E,5,FALSE)) * C191</f>
        <v>1396</v>
      </c>
      <c r="G191" s="1">
        <v>45871</v>
      </c>
    </row>
    <row r="192" spans="1:7" x14ac:dyDescent="0.35">
      <c r="A192">
        <v>80</v>
      </c>
      <c r="B192">
        <v>9</v>
      </c>
      <c r="C192">
        <v>5</v>
      </c>
      <c r="D192">
        <f>VLOOKUP(B192,PRODUCTS!A:E,4,FALSE)*C192</f>
        <v>4495</v>
      </c>
      <c r="E192">
        <f>(VLOOKUP(B192,PRODUCTS!A:E,4,FALSE) - VLOOKUP(B192,PRODUCTS!A:E,5,FALSE)) * C192</f>
        <v>1995</v>
      </c>
      <c r="G192" s="1">
        <v>45921</v>
      </c>
    </row>
    <row r="193" spans="1:7" x14ac:dyDescent="0.35">
      <c r="A193">
        <v>145</v>
      </c>
      <c r="B193">
        <v>10</v>
      </c>
      <c r="C193">
        <v>4</v>
      </c>
      <c r="D193">
        <f>VLOOKUP(B193,PRODUCTS!A:E,4,FALSE)*C193</f>
        <v>6396</v>
      </c>
      <c r="E193">
        <f>(VLOOKUP(B193,PRODUCTS!A:E,4,FALSE) - VLOOKUP(B193,PRODUCTS!A:E,5,FALSE)) * C193</f>
        <v>2596</v>
      </c>
      <c r="G193" s="1">
        <v>45953</v>
      </c>
    </row>
    <row r="194" spans="1:7" x14ac:dyDescent="0.35">
      <c r="A194">
        <v>166</v>
      </c>
      <c r="B194">
        <v>23</v>
      </c>
      <c r="C194">
        <v>5</v>
      </c>
      <c r="D194">
        <f>VLOOKUP(B194,PRODUCTS!A:E,4,FALSE)*C194</f>
        <v>2995</v>
      </c>
      <c r="E194">
        <f>(VLOOKUP(B194,PRODUCTS!A:E,4,FALSE) - VLOOKUP(B194,PRODUCTS!A:E,5,FALSE)) * C194</f>
        <v>1495</v>
      </c>
      <c r="G194" s="1">
        <v>45941</v>
      </c>
    </row>
    <row r="195" spans="1:7" x14ac:dyDescent="0.35">
      <c r="A195">
        <v>122</v>
      </c>
      <c r="B195">
        <v>2</v>
      </c>
      <c r="C195">
        <v>2</v>
      </c>
      <c r="D195">
        <f>VLOOKUP(B195,PRODUCTS!A:E,4,FALSE)*C195</f>
        <v>1998</v>
      </c>
      <c r="E195">
        <f>(VLOOKUP(B195,PRODUCTS!A:E,4,FALSE) - VLOOKUP(B195,PRODUCTS!A:E,5,FALSE)) * C195</f>
        <v>798</v>
      </c>
      <c r="G195" s="1">
        <v>45711</v>
      </c>
    </row>
    <row r="196" spans="1:7" x14ac:dyDescent="0.35">
      <c r="A196">
        <v>24</v>
      </c>
      <c r="B196">
        <v>13</v>
      </c>
      <c r="C196">
        <v>2</v>
      </c>
      <c r="D196">
        <f>VLOOKUP(B196,PRODUCTS!A:E,4,FALSE)*C196</f>
        <v>998</v>
      </c>
      <c r="E196">
        <f>(VLOOKUP(B196,PRODUCTS!A:E,4,FALSE) - VLOOKUP(B196,PRODUCTS!A:E,5,FALSE)) * C196</f>
        <v>498</v>
      </c>
      <c r="G196" s="1">
        <v>45925</v>
      </c>
    </row>
    <row r="197" spans="1:7" x14ac:dyDescent="0.35">
      <c r="A197">
        <v>76</v>
      </c>
      <c r="B197">
        <v>11</v>
      </c>
      <c r="C197">
        <v>4</v>
      </c>
      <c r="D197">
        <f>VLOOKUP(B197,PRODUCTS!A:E,4,FALSE)*C197</f>
        <v>3196</v>
      </c>
      <c r="E197">
        <f>(VLOOKUP(B197,PRODUCTS!A:E,4,FALSE) - VLOOKUP(B197,PRODUCTS!A:E,5,FALSE)) * C197</f>
        <v>1596</v>
      </c>
      <c r="G197" s="1">
        <v>45664</v>
      </c>
    </row>
    <row r="198" spans="1:7" x14ac:dyDescent="0.35">
      <c r="A198">
        <v>133</v>
      </c>
      <c r="B198">
        <v>5</v>
      </c>
      <c r="C198">
        <v>1</v>
      </c>
      <c r="D198">
        <f>VLOOKUP(B198,PRODUCTS!A:E,4,FALSE)*C198</f>
        <v>399</v>
      </c>
      <c r="E198">
        <f>(VLOOKUP(B198,PRODUCTS!A:E,4,FALSE) - VLOOKUP(B198,PRODUCTS!A:E,5,FALSE)) * C198</f>
        <v>199</v>
      </c>
      <c r="G198" s="1">
        <v>45891</v>
      </c>
    </row>
    <row r="199" spans="1:7" x14ac:dyDescent="0.35">
      <c r="A199">
        <v>183</v>
      </c>
      <c r="B199">
        <v>4</v>
      </c>
      <c r="C199">
        <v>3</v>
      </c>
      <c r="D199">
        <f>VLOOKUP(B199,PRODUCTS!A:E,4,FALSE)*C199</f>
        <v>3597</v>
      </c>
      <c r="E199">
        <f>(VLOOKUP(B199,PRODUCTS!A:E,4,FALSE) - VLOOKUP(B199,PRODUCTS!A:E,5,FALSE)) * C199</f>
        <v>1497</v>
      </c>
      <c r="G199" s="1">
        <v>46004</v>
      </c>
    </row>
    <row r="200" spans="1:7" x14ac:dyDescent="0.35">
      <c r="A200">
        <v>144</v>
      </c>
      <c r="B200">
        <v>16</v>
      </c>
      <c r="C200">
        <v>2</v>
      </c>
      <c r="D200">
        <f>VLOOKUP(B200,PRODUCTS!A:E,4,FALSE)*C200</f>
        <v>1198</v>
      </c>
      <c r="E200">
        <f>(VLOOKUP(B200,PRODUCTS!A:E,4,FALSE) - VLOOKUP(B200,PRODUCTS!A:E,5,FALSE)) * C200</f>
        <v>598</v>
      </c>
      <c r="G200" s="1">
        <v>45811</v>
      </c>
    </row>
    <row r="201" spans="1:7" x14ac:dyDescent="0.35">
      <c r="A201">
        <v>117</v>
      </c>
      <c r="B201">
        <v>5</v>
      </c>
      <c r="C201">
        <v>3</v>
      </c>
      <c r="D201">
        <f>VLOOKUP(B201,PRODUCTS!A:E,4,FALSE)*C201</f>
        <v>1197</v>
      </c>
      <c r="E201">
        <f>(VLOOKUP(B201,PRODUCTS!A:E,4,FALSE) - VLOOKUP(B201,PRODUCTS!A:E,5,FALSE)) * C201</f>
        <v>597</v>
      </c>
      <c r="G201" s="1">
        <v>45995</v>
      </c>
    </row>
    <row r="202" spans="1:7" x14ac:dyDescent="0.35">
      <c r="A202">
        <v>186</v>
      </c>
      <c r="B202">
        <v>19</v>
      </c>
      <c r="C202">
        <v>4</v>
      </c>
      <c r="D202">
        <f>VLOOKUP(B202,PRODUCTS!A:E,4,FALSE)*C202</f>
        <v>5196</v>
      </c>
      <c r="E202">
        <f>(VLOOKUP(B202,PRODUCTS!A:E,4,FALSE) - VLOOKUP(B202,PRODUCTS!A:E,5,FALSE)) * C202</f>
        <v>1996</v>
      </c>
    </row>
    <row r="203" spans="1:7" x14ac:dyDescent="0.35">
      <c r="A203">
        <v>165</v>
      </c>
      <c r="B203">
        <v>7</v>
      </c>
      <c r="C203">
        <v>4</v>
      </c>
      <c r="D203">
        <f>VLOOKUP(B203,PRODUCTS!A:E,4,FALSE)*C203</f>
        <v>5996</v>
      </c>
      <c r="E203">
        <f>(VLOOKUP(B203,PRODUCTS!A:E,4,FALSE) - VLOOKUP(B203,PRODUCTS!A:E,5,FALSE)) * C203</f>
        <v>2396</v>
      </c>
    </row>
    <row r="204" spans="1:7" x14ac:dyDescent="0.35">
      <c r="A204">
        <v>87</v>
      </c>
      <c r="B204">
        <v>15</v>
      </c>
      <c r="C204">
        <v>3</v>
      </c>
      <c r="D204">
        <f>VLOOKUP(B204,PRODUCTS!A:E,4,FALSE)*C204</f>
        <v>4497</v>
      </c>
      <c r="E204">
        <f>(VLOOKUP(B204,PRODUCTS!A:E,4,FALSE) - VLOOKUP(B204,PRODUCTS!A:E,5,FALSE)) * C204</f>
        <v>1797</v>
      </c>
    </row>
    <row r="205" spans="1:7" x14ac:dyDescent="0.35">
      <c r="A205">
        <v>141</v>
      </c>
      <c r="B205">
        <v>7</v>
      </c>
      <c r="C205">
        <v>2</v>
      </c>
      <c r="D205">
        <f>VLOOKUP(B205,PRODUCTS!A:E,4,FALSE)*C205</f>
        <v>2998</v>
      </c>
      <c r="E205">
        <f>(VLOOKUP(B205,PRODUCTS!A:E,4,FALSE) - VLOOKUP(B205,PRODUCTS!A:E,5,FALSE)) * C205</f>
        <v>1198</v>
      </c>
    </row>
    <row r="206" spans="1:7" x14ac:dyDescent="0.35">
      <c r="A206">
        <v>193</v>
      </c>
      <c r="B206">
        <v>19</v>
      </c>
      <c r="C206">
        <v>5</v>
      </c>
      <c r="D206">
        <f>VLOOKUP(B206,PRODUCTS!A:E,4,FALSE)*C206</f>
        <v>6495</v>
      </c>
      <c r="E206">
        <f>(VLOOKUP(B206,PRODUCTS!A:E,4,FALSE) - VLOOKUP(B206,PRODUCTS!A:E,5,FALSE)) * C206</f>
        <v>2495</v>
      </c>
    </row>
    <row r="207" spans="1:7" x14ac:dyDescent="0.35">
      <c r="A207">
        <v>89</v>
      </c>
      <c r="B207">
        <v>6</v>
      </c>
      <c r="C207">
        <v>4</v>
      </c>
      <c r="D207">
        <f>VLOOKUP(B207,PRODUCTS!A:E,4,FALSE)*C207</f>
        <v>2796</v>
      </c>
      <c r="E207">
        <f>(VLOOKUP(B207,PRODUCTS!A:E,4,FALSE) - VLOOKUP(B207,PRODUCTS!A:E,5,FALSE)) * C207</f>
        <v>1396</v>
      </c>
    </row>
    <row r="208" spans="1:7" x14ac:dyDescent="0.35">
      <c r="A208">
        <v>57</v>
      </c>
      <c r="B208">
        <v>4</v>
      </c>
      <c r="C208">
        <v>4</v>
      </c>
      <c r="D208">
        <f>VLOOKUP(B208,PRODUCTS!A:E,4,FALSE)*C208</f>
        <v>4796</v>
      </c>
      <c r="E208">
        <f>(VLOOKUP(B208,PRODUCTS!A:E,4,FALSE) - VLOOKUP(B208,PRODUCTS!A:E,5,FALSE)) * C208</f>
        <v>1996</v>
      </c>
    </row>
    <row r="209" spans="1:5" x14ac:dyDescent="0.35">
      <c r="A209">
        <v>70</v>
      </c>
      <c r="B209">
        <v>9</v>
      </c>
      <c r="C209">
        <v>3</v>
      </c>
      <c r="D209">
        <f>VLOOKUP(B209,PRODUCTS!A:E,4,FALSE)*C209</f>
        <v>2697</v>
      </c>
      <c r="E209">
        <f>(VLOOKUP(B209,PRODUCTS!A:E,4,FALSE) - VLOOKUP(B209,PRODUCTS!A:E,5,FALSE)) * C209</f>
        <v>1197</v>
      </c>
    </row>
    <row r="210" spans="1:5" x14ac:dyDescent="0.35">
      <c r="A210">
        <v>83</v>
      </c>
      <c r="B210">
        <v>24</v>
      </c>
      <c r="C210">
        <v>1</v>
      </c>
      <c r="D210">
        <f>VLOOKUP(B210,PRODUCTS!A:E,4,FALSE)*C210</f>
        <v>699</v>
      </c>
      <c r="E210">
        <f>(VLOOKUP(B210,PRODUCTS!A:E,4,FALSE) - VLOOKUP(B210,PRODUCTS!A:E,5,FALSE)) * C210</f>
        <v>349</v>
      </c>
    </row>
    <row r="211" spans="1:5" x14ac:dyDescent="0.35">
      <c r="A211">
        <v>18</v>
      </c>
      <c r="B211">
        <v>2</v>
      </c>
      <c r="C211">
        <v>4</v>
      </c>
      <c r="D211">
        <f>VLOOKUP(B211,PRODUCTS!A:E,4,FALSE)*C211</f>
        <v>3996</v>
      </c>
      <c r="E211">
        <f>(VLOOKUP(B211,PRODUCTS!A:E,4,FALSE) - VLOOKUP(B211,PRODUCTS!A:E,5,FALSE)) * C211</f>
        <v>1596</v>
      </c>
    </row>
    <row r="212" spans="1:5" x14ac:dyDescent="0.35">
      <c r="A212">
        <v>181</v>
      </c>
      <c r="B212">
        <v>23</v>
      </c>
      <c r="C212">
        <v>5</v>
      </c>
      <c r="D212">
        <f>VLOOKUP(B212,PRODUCTS!A:E,4,FALSE)*C212</f>
        <v>2995</v>
      </c>
      <c r="E212">
        <f>(VLOOKUP(B212,PRODUCTS!A:E,4,FALSE) - VLOOKUP(B212,PRODUCTS!A:E,5,FALSE)) * C212</f>
        <v>1495</v>
      </c>
    </row>
    <row r="213" spans="1:5" x14ac:dyDescent="0.35">
      <c r="A213">
        <v>142</v>
      </c>
      <c r="B213">
        <v>3</v>
      </c>
      <c r="C213">
        <v>2</v>
      </c>
      <c r="D213">
        <f>VLOOKUP(B213,PRODUCTS!A:E,4,FALSE)*C213</f>
        <v>1598</v>
      </c>
      <c r="E213">
        <f>(VLOOKUP(B213,PRODUCTS!A:E,4,FALSE) - VLOOKUP(B213,PRODUCTS!A:E,5,FALSE)) * C213</f>
        <v>698</v>
      </c>
    </row>
    <row r="214" spans="1:5" x14ac:dyDescent="0.35">
      <c r="A214">
        <v>200</v>
      </c>
      <c r="B214">
        <v>17</v>
      </c>
      <c r="C214">
        <v>2</v>
      </c>
      <c r="D214">
        <f>VLOOKUP(B214,PRODUCTS!A:E,4,FALSE)*C214</f>
        <v>798</v>
      </c>
      <c r="E214">
        <f>(VLOOKUP(B214,PRODUCTS!A:E,4,FALSE) - VLOOKUP(B214,PRODUCTS!A:E,5,FALSE)) * C214</f>
        <v>398</v>
      </c>
    </row>
    <row r="215" spans="1:5" x14ac:dyDescent="0.35">
      <c r="A215">
        <v>44</v>
      </c>
      <c r="B215">
        <v>14</v>
      </c>
      <c r="C215">
        <v>5</v>
      </c>
      <c r="D215">
        <f>VLOOKUP(B215,PRODUCTS!A:E,4,FALSE)*C215</f>
        <v>3495</v>
      </c>
      <c r="E215">
        <f>(VLOOKUP(B215,PRODUCTS!A:E,4,FALSE) - VLOOKUP(B215,PRODUCTS!A:E,5,FALSE)) * C215</f>
        <v>1745</v>
      </c>
    </row>
    <row r="216" spans="1:5" x14ac:dyDescent="0.35">
      <c r="A216">
        <v>105</v>
      </c>
      <c r="B216">
        <v>18</v>
      </c>
      <c r="C216">
        <v>4</v>
      </c>
      <c r="D216">
        <f>VLOOKUP(B216,PRODUCTS!A:E,4,FALSE)*C216</f>
        <v>3196</v>
      </c>
      <c r="E216">
        <f>(VLOOKUP(B216,PRODUCTS!A:E,4,FALSE) - VLOOKUP(B216,PRODUCTS!A:E,5,FALSE)) * C216</f>
        <v>1396</v>
      </c>
    </row>
    <row r="217" spans="1:5" x14ac:dyDescent="0.35">
      <c r="A217">
        <v>161</v>
      </c>
      <c r="B217">
        <v>11</v>
      </c>
      <c r="C217">
        <v>2</v>
      </c>
      <c r="D217">
        <f>VLOOKUP(B217,PRODUCTS!A:E,4,FALSE)*C217</f>
        <v>1598</v>
      </c>
      <c r="E217">
        <f>(VLOOKUP(B217,PRODUCTS!A:E,4,FALSE) - VLOOKUP(B217,PRODUCTS!A:E,5,FALSE)) * C217</f>
        <v>798</v>
      </c>
    </row>
    <row r="218" spans="1:5" x14ac:dyDescent="0.35">
      <c r="A218">
        <v>127</v>
      </c>
      <c r="B218">
        <v>21</v>
      </c>
      <c r="C218">
        <v>2</v>
      </c>
      <c r="D218">
        <f>VLOOKUP(B218,PRODUCTS!A:E,4,FALSE)*C218</f>
        <v>598</v>
      </c>
      <c r="E218">
        <f>(VLOOKUP(B218,PRODUCTS!A:E,4,FALSE) - VLOOKUP(B218,PRODUCTS!A:E,5,FALSE)) * C218</f>
        <v>298</v>
      </c>
    </row>
    <row r="219" spans="1:5" x14ac:dyDescent="0.35">
      <c r="A219">
        <v>79</v>
      </c>
      <c r="B219">
        <v>22</v>
      </c>
      <c r="C219">
        <v>2</v>
      </c>
      <c r="D219">
        <f>VLOOKUP(B219,PRODUCTS!A:E,4,FALSE)*C219</f>
        <v>698</v>
      </c>
      <c r="E219">
        <f>(VLOOKUP(B219,PRODUCTS!A:E,4,FALSE) - VLOOKUP(B219,PRODUCTS!A:E,5,FALSE)) * C219</f>
        <v>338</v>
      </c>
    </row>
    <row r="220" spans="1:5" x14ac:dyDescent="0.35">
      <c r="A220">
        <v>122</v>
      </c>
      <c r="B220">
        <v>10</v>
      </c>
      <c r="C220">
        <v>1</v>
      </c>
      <c r="D220">
        <f>VLOOKUP(B220,PRODUCTS!A:E,4,FALSE)*C220</f>
        <v>1599</v>
      </c>
      <c r="E220">
        <f>(VLOOKUP(B220,PRODUCTS!A:E,4,FALSE) - VLOOKUP(B220,PRODUCTS!A:E,5,FALSE)) * C220</f>
        <v>649</v>
      </c>
    </row>
    <row r="221" spans="1:5" x14ac:dyDescent="0.35">
      <c r="A221">
        <v>29</v>
      </c>
      <c r="B221">
        <v>6</v>
      </c>
      <c r="C221">
        <v>4</v>
      </c>
      <c r="D221">
        <f>VLOOKUP(B221,PRODUCTS!A:E,4,FALSE)*C221</f>
        <v>2796</v>
      </c>
      <c r="E221">
        <f>(VLOOKUP(B221,PRODUCTS!A:E,4,FALSE) - VLOOKUP(B221,PRODUCTS!A:E,5,FALSE)) * C221</f>
        <v>1396</v>
      </c>
    </row>
    <row r="222" spans="1:5" x14ac:dyDescent="0.35">
      <c r="A222">
        <v>67</v>
      </c>
      <c r="B222">
        <v>23</v>
      </c>
      <c r="C222">
        <v>5</v>
      </c>
      <c r="D222">
        <f>VLOOKUP(B222,PRODUCTS!A:E,4,FALSE)*C222</f>
        <v>2995</v>
      </c>
      <c r="E222">
        <f>(VLOOKUP(B222,PRODUCTS!A:E,4,FALSE) - VLOOKUP(B222,PRODUCTS!A:E,5,FALSE)) * C222</f>
        <v>1495</v>
      </c>
    </row>
    <row r="223" spans="1:5" x14ac:dyDescent="0.35">
      <c r="A223">
        <v>104</v>
      </c>
      <c r="B223">
        <v>10</v>
      </c>
      <c r="C223">
        <v>5</v>
      </c>
      <c r="D223">
        <f>VLOOKUP(B223,PRODUCTS!A:E,4,FALSE)*C223</f>
        <v>7995</v>
      </c>
      <c r="E223">
        <f>(VLOOKUP(B223,PRODUCTS!A:E,4,FALSE) - VLOOKUP(B223,PRODUCTS!A:E,5,FALSE)) * C223</f>
        <v>3245</v>
      </c>
    </row>
    <row r="224" spans="1:5" x14ac:dyDescent="0.35">
      <c r="A224">
        <v>13</v>
      </c>
      <c r="B224">
        <v>11</v>
      </c>
      <c r="C224">
        <v>3</v>
      </c>
      <c r="D224">
        <f>VLOOKUP(B224,PRODUCTS!A:E,4,FALSE)*C224</f>
        <v>2397</v>
      </c>
      <c r="E224">
        <f>(VLOOKUP(B224,PRODUCTS!A:E,4,FALSE) - VLOOKUP(B224,PRODUCTS!A:E,5,FALSE)) * C224</f>
        <v>1197</v>
      </c>
    </row>
    <row r="225" spans="1:5" x14ac:dyDescent="0.35">
      <c r="A225">
        <v>133</v>
      </c>
      <c r="B225">
        <v>16</v>
      </c>
      <c r="C225">
        <v>1</v>
      </c>
      <c r="D225">
        <f>VLOOKUP(B225,PRODUCTS!A:E,4,FALSE)*C225</f>
        <v>599</v>
      </c>
      <c r="E225">
        <f>(VLOOKUP(B225,PRODUCTS!A:E,4,FALSE) - VLOOKUP(B225,PRODUCTS!A:E,5,FALSE)) * C225</f>
        <v>299</v>
      </c>
    </row>
    <row r="226" spans="1:5" x14ac:dyDescent="0.35">
      <c r="A226">
        <v>23</v>
      </c>
      <c r="B226">
        <v>7</v>
      </c>
      <c r="C226">
        <v>2</v>
      </c>
      <c r="D226">
        <f>VLOOKUP(B226,PRODUCTS!A:E,4,FALSE)*C226</f>
        <v>2998</v>
      </c>
      <c r="E226">
        <f>(VLOOKUP(B226,PRODUCTS!A:E,4,FALSE) - VLOOKUP(B226,PRODUCTS!A:E,5,FALSE)) * C226</f>
        <v>1198</v>
      </c>
    </row>
    <row r="227" spans="1:5" x14ac:dyDescent="0.35">
      <c r="A227">
        <v>51</v>
      </c>
      <c r="B227">
        <v>19</v>
      </c>
      <c r="C227">
        <v>2</v>
      </c>
      <c r="D227">
        <f>VLOOKUP(B227,PRODUCTS!A:E,4,FALSE)*C227</f>
        <v>2598</v>
      </c>
      <c r="E227">
        <f>(VLOOKUP(B227,PRODUCTS!A:E,4,FALSE) - VLOOKUP(B227,PRODUCTS!A:E,5,FALSE)) * C227</f>
        <v>998</v>
      </c>
    </row>
    <row r="228" spans="1:5" x14ac:dyDescent="0.35">
      <c r="A228">
        <v>92</v>
      </c>
      <c r="B228">
        <v>4</v>
      </c>
      <c r="C228">
        <v>5</v>
      </c>
      <c r="D228">
        <f>VLOOKUP(B228,PRODUCTS!A:E,4,FALSE)*C228</f>
        <v>5995</v>
      </c>
      <c r="E228">
        <f>(VLOOKUP(B228,PRODUCTS!A:E,4,FALSE) - VLOOKUP(B228,PRODUCTS!A:E,5,FALSE)) * C228</f>
        <v>2495</v>
      </c>
    </row>
    <row r="229" spans="1:5" x14ac:dyDescent="0.35">
      <c r="A229">
        <v>7</v>
      </c>
      <c r="B229">
        <v>15</v>
      </c>
      <c r="C229">
        <v>1</v>
      </c>
      <c r="D229">
        <f>VLOOKUP(B229,PRODUCTS!A:E,4,FALSE)*C229</f>
        <v>1499</v>
      </c>
      <c r="E229">
        <f>(VLOOKUP(B229,PRODUCTS!A:E,4,FALSE) - VLOOKUP(B229,PRODUCTS!A:E,5,FALSE)) * C229</f>
        <v>599</v>
      </c>
    </row>
    <row r="230" spans="1:5" x14ac:dyDescent="0.35">
      <c r="A230">
        <v>187</v>
      </c>
      <c r="B230">
        <v>19</v>
      </c>
      <c r="C230">
        <v>4</v>
      </c>
      <c r="D230">
        <f>VLOOKUP(B230,PRODUCTS!A:E,4,FALSE)*C230</f>
        <v>5196</v>
      </c>
      <c r="E230">
        <f>(VLOOKUP(B230,PRODUCTS!A:E,4,FALSE) - VLOOKUP(B230,PRODUCTS!A:E,5,FALSE)) * C230</f>
        <v>1996</v>
      </c>
    </row>
    <row r="231" spans="1:5" x14ac:dyDescent="0.35">
      <c r="A231">
        <v>113</v>
      </c>
      <c r="B231">
        <v>6</v>
      </c>
      <c r="C231">
        <v>1</v>
      </c>
      <c r="D231">
        <f>VLOOKUP(B231,PRODUCTS!A:E,4,FALSE)*C231</f>
        <v>699</v>
      </c>
      <c r="E231">
        <f>(VLOOKUP(B231,PRODUCTS!A:E,4,FALSE) - VLOOKUP(B231,PRODUCTS!A:E,5,FALSE)) * C231</f>
        <v>349</v>
      </c>
    </row>
    <row r="232" spans="1:5" x14ac:dyDescent="0.35">
      <c r="A232">
        <v>175</v>
      </c>
      <c r="B232">
        <v>20</v>
      </c>
      <c r="C232">
        <v>2</v>
      </c>
      <c r="D232">
        <f>VLOOKUP(B232,PRODUCTS!A:E,4,FALSE)*C232</f>
        <v>2798</v>
      </c>
      <c r="E232">
        <f>(VLOOKUP(B232,PRODUCTS!A:E,4,FALSE) - VLOOKUP(B232,PRODUCTS!A:E,5,FALSE)) * C232</f>
        <v>1098</v>
      </c>
    </row>
    <row r="233" spans="1:5" x14ac:dyDescent="0.35">
      <c r="A233">
        <v>24</v>
      </c>
      <c r="B233">
        <v>7</v>
      </c>
      <c r="C233">
        <v>5</v>
      </c>
      <c r="D233">
        <f>VLOOKUP(B233,PRODUCTS!A:E,4,FALSE)*C233</f>
        <v>7495</v>
      </c>
      <c r="E233">
        <f>(VLOOKUP(B233,PRODUCTS!A:E,4,FALSE) - VLOOKUP(B233,PRODUCTS!A:E,5,FALSE)) * C233</f>
        <v>2995</v>
      </c>
    </row>
    <row r="234" spans="1:5" x14ac:dyDescent="0.35">
      <c r="A234">
        <v>48</v>
      </c>
      <c r="B234">
        <v>8</v>
      </c>
      <c r="C234">
        <v>3</v>
      </c>
      <c r="D234">
        <f>VLOOKUP(B234,PRODUCTS!A:E,4,FALSE)*C234</f>
        <v>1797</v>
      </c>
      <c r="E234">
        <f>(VLOOKUP(B234,PRODUCTS!A:E,4,FALSE) - VLOOKUP(B234,PRODUCTS!A:E,5,FALSE)) * C234</f>
        <v>897</v>
      </c>
    </row>
    <row r="235" spans="1:5" x14ac:dyDescent="0.35">
      <c r="A235">
        <v>165</v>
      </c>
      <c r="B235">
        <v>14</v>
      </c>
      <c r="C235">
        <v>4</v>
      </c>
      <c r="D235">
        <f>VLOOKUP(B235,PRODUCTS!A:E,4,FALSE)*C235</f>
        <v>2796</v>
      </c>
      <c r="E235">
        <f>(VLOOKUP(B235,PRODUCTS!A:E,4,FALSE) - VLOOKUP(B235,PRODUCTS!A:E,5,FALSE)) * C235</f>
        <v>1396</v>
      </c>
    </row>
    <row r="236" spans="1:5" x14ac:dyDescent="0.35">
      <c r="A236">
        <v>166</v>
      </c>
      <c r="B236">
        <v>4</v>
      </c>
      <c r="C236">
        <v>5</v>
      </c>
      <c r="D236">
        <f>VLOOKUP(B236,PRODUCTS!A:E,4,FALSE)*C236</f>
        <v>5995</v>
      </c>
      <c r="E236">
        <f>(VLOOKUP(B236,PRODUCTS!A:E,4,FALSE) - VLOOKUP(B236,PRODUCTS!A:E,5,FALSE)) * C236</f>
        <v>2495</v>
      </c>
    </row>
    <row r="237" spans="1:5" x14ac:dyDescent="0.35">
      <c r="A237">
        <v>60</v>
      </c>
      <c r="B237">
        <v>16</v>
      </c>
      <c r="C237">
        <v>2</v>
      </c>
      <c r="D237">
        <f>VLOOKUP(B237,PRODUCTS!A:E,4,FALSE)*C237</f>
        <v>1198</v>
      </c>
      <c r="E237">
        <f>(VLOOKUP(B237,PRODUCTS!A:E,4,FALSE) - VLOOKUP(B237,PRODUCTS!A:E,5,FALSE)) * C237</f>
        <v>598</v>
      </c>
    </row>
    <row r="238" spans="1:5" x14ac:dyDescent="0.35">
      <c r="A238">
        <v>96</v>
      </c>
      <c r="B238">
        <v>8</v>
      </c>
      <c r="C238">
        <v>5</v>
      </c>
      <c r="D238">
        <f>VLOOKUP(B238,PRODUCTS!A:E,4,FALSE)*C238</f>
        <v>2995</v>
      </c>
      <c r="E238">
        <f>(VLOOKUP(B238,PRODUCTS!A:E,4,FALSE) - VLOOKUP(B238,PRODUCTS!A:E,5,FALSE)) * C238</f>
        <v>1495</v>
      </c>
    </row>
    <row r="239" spans="1:5" x14ac:dyDescent="0.35">
      <c r="A239">
        <v>45</v>
      </c>
      <c r="B239">
        <v>1</v>
      </c>
      <c r="C239">
        <v>3</v>
      </c>
      <c r="D239">
        <f>VLOOKUP(B239,PRODUCTS!A:E,4,FALSE)*C239</f>
        <v>1497</v>
      </c>
      <c r="E239">
        <f>(VLOOKUP(B239,PRODUCTS!A:E,4,FALSE) - VLOOKUP(B239,PRODUCTS!A:E,5,FALSE)) * C239</f>
        <v>747</v>
      </c>
    </row>
    <row r="240" spans="1:5" x14ac:dyDescent="0.35">
      <c r="A240">
        <v>136</v>
      </c>
      <c r="B240">
        <v>20</v>
      </c>
      <c r="C240">
        <v>3</v>
      </c>
      <c r="D240">
        <f>VLOOKUP(B240,PRODUCTS!A:E,4,FALSE)*C240</f>
        <v>4197</v>
      </c>
      <c r="E240">
        <f>(VLOOKUP(B240,PRODUCTS!A:E,4,FALSE) - VLOOKUP(B240,PRODUCTS!A:E,5,FALSE)) * C240</f>
        <v>1647</v>
      </c>
    </row>
    <row r="241" spans="1:5" x14ac:dyDescent="0.35">
      <c r="A241">
        <v>61</v>
      </c>
      <c r="B241">
        <v>15</v>
      </c>
      <c r="C241">
        <v>4</v>
      </c>
      <c r="D241">
        <f>VLOOKUP(B241,PRODUCTS!A:E,4,FALSE)*C241</f>
        <v>5996</v>
      </c>
      <c r="E241">
        <f>(VLOOKUP(B241,PRODUCTS!A:E,4,FALSE) - VLOOKUP(B241,PRODUCTS!A:E,5,FALSE)) * C241</f>
        <v>2396</v>
      </c>
    </row>
    <row r="242" spans="1:5" x14ac:dyDescent="0.35">
      <c r="A242">
        <v>44</v>
      </c>
      <c r="B242">
        <v>6</v>
      </c>
      <c r="C242">
        <v>2</v>
      </c>
      <c r="D242">
        <f>VLOOKUP(B242,PRODUCTS!A:E,4,FALSE)*C242</f>
        <v>1398</v>
      </c>
      <c r="E242">
        <f>(VLOOKUP(B242,PRODUCTS!A:E,4,FALSE) - VLOOKUP(B242,PRODUCTS!A:E,5,FALSE)) * C242</f>
        <v>698</v>
      </c>
    </row>
    <row r="243" spans="1:5" x14ac:dyDescent="0.35">
      <c r="A243">
        <v>123</v>
      </c>
      <c r="B243">
        <v>10</v>
      </c>
      <c r="C243">
        <v>4</v>
      </c>
      <c r="D243">
        <f>VLOOKUP(B243,PRODUCTS!A:E,4,FALSE)*C243</f>
        <v>6396</v>
      </c>
      <c r="E243">
        <f>(VLOOKUP(B243,PRODUCTS!A:E,4,FALSE) - VLOOKUP(B243,PRODUCTS!A:E,5,FALSE)) * C243</f>
        <v>2596</v>
      </c>
    </row>
    <row r="244" spans="1:5" x14ac:dyDescent="0.35">
      <c r="A244">
        <v>194</v>
      </c>
      <c r="B244">
        <v>5</v>
      </c>
      <c r="C244">
        <v>4</v>
      </c>
      <c r="D244">
        <f>VLOOKUP(B244,PRODUCTS!A:E,4,FALSE)*C244</f>
        <v>1596</v>
      </c>
      <c r="E244">
        <f>(VLOOKUP(B244,PRODUCTS!A:E,4,FALSE) - VLOOKUP(B244,PRODUCTS!A:E,5,FALSE)) * C244</f>
        <v>796</v>
      </c>
    </row>
    <row r="245" spans="1:5" x14ac:dyDescent="0.35">
      <c r="A245">
        <v>121</v>
      </c>
      <c r="B245">
        <v>6</v>
      </c>
      <c r="C245">
        <v>1</v>
      </c>
      <c r="D245">
        <f>VLOOKUP(B245,PRODUCTS!A:E,4,FALSE)*C245</f>
        <v>699</v>
      </c>
      <c r="E245">
        <f>(VLOOKUP(B245,PRODUCTS!A:E,4,FALSE) - VLOOKUP(B245,PRODUCTS!A:E,5,FALSE)) * C245</f>
        <v>349</v>
      </c>
    </row>
    <row r="246" spans="1:5" x14ac:dyDescent="0.35">
      <c r="A246">
        <v>57</v>
      </c>
      <c r="B246">
        <v>10</v>
      </c>
      <c r="C246">
        <v>3</v>
      </c>
      <c r="D246">
        <f>VLOOKUP(B246,PRODUCTS!A:E,4,FALSE)*C246</f>
        <v>4797</v>
      </c>
      <c r="E246">
        <f>(VLOOKUP(B246,PRODUCTS!A:E,4,FALSE) - VLOOKUP(B246,PRODUCTS!A:E,5,FALSE)) * C246</f>
        <v>1947</v>
      </c>
    </row>
    <row r="247" spans="1:5" x14ac:dyDescent="0.35">
      <c r="A247">
        <v>113</v>
      </c>
      <c r="B247">
        <v>3</v>
      </c>
      <c r="C247">
        <v>1</v>
      </c>
      <c r="D247">
        <f>VLOOKUP(B247,PRODUCTS!A:E,4,FALSE)*C247</f>
        <v>799</v>
      </c>
      <c r="E247">
        <f>(VLOOKUP(B247,PRODUCTS!A:E,4,FALSE) - VLOOKUP(B247,PRODUCTS!A:E,5,FALSE)) * C247</f>
        <v>349</v>
      </c>
    </row>
    <row r="248" spans="1:5" x14ac:dyDescent="0.35">
      <c r="A248">
        <v>178</v>
      </c>
      <c r="B248">
        <v>22</v>
      </c>
      <c r="C248">
        <v>1</v>
      </c>
      <c r="D248">
        <f>VLOOKUP(B248,PRODUCTS!A:E,4,FALSE)*C248</f>
        <v>349</v>
      </c>
      <c r="E248">
        <f>(VLOOKUP(B248,PRODUCTS!A:E,4,FALSE) - VLOOKUP(B248,PRODUCTS!A:E,5,FALSE)) * C248</f>
        <v>169</v>
      </c>
    </row>
    <row r="249" spans="1:5" x14ac:dyDescent="0.35">
      <c r="A249">
        <v>119</v>
      </c>
      <c r="B249">
        <v>20</v>
      </c>
      <c r="C249">
        <v>1</v>
      </c>
      <c r="D249">
        <f>VLOOKUP(B249,PRODUCTS!A:E,4,FALSE)*C249</f>
        <v>1399</v>
      </c>
      <c r="E249">
        <f>(VLOOKUP(B249,PRODUCTS!A:E,4,FALSE) - VLOOKUP(B249,PRODUCTS!A:E,5,FALSE)) * C249</f>
        <v>549</v>
      </c>
    </row>
    <row r="250" spans="1:5" x14ac:dyDescent="0.35">
      <c r="A250">
        <v>6</v>
      </c>
      <c r="B250">
        <v>23</v>
      </c>
      <c r="C250">
        <v>2</v>
      </c>
      <c r="D250">
        <f>VLOOKUP(B250,PRODUCTS!A:E,4,FALSE)*C250</f>
        <v>1198</v>
      </c>
      <c r="E250">
        <f>(VLOOKUP(B250,PRODUCTS!A:E,4,FALSE) - VLOOKUP(B250,PRODUCTS!A:E,5,FALSE)) * C250</f>
        <v>598</v>
      </c>
    </row>
    <row r="251" spans="1:5" x14ac:dyDescent="0.35">
      <c r="A251">
        <v>95</v>
      </c>
      <c r="B251">
        <v>12</v>
      </c>
      <c r="C251">
        <v>1</v>
      </c>
      <c r="D251">
        <f>VLOOKUP(B251,PRODUCTS!A:E,4,FALSE)*C251</f>
        <v>1199</v>
      </c>
      <c r="E251">
        <f>(VLOOKUP(B251,PRODUCTS!A:E,4,FALSE) - VLOOKUP(B251,PRODUCTS!A:E,5,FALSE)) * C251</f>
        <v>499</v>
      </c>
    </row>
    <row r="252" spans="1:5" x14ac:dyDescent="0.35">
      <c r="A252">
        <v>37</v>
      </c>
      <c r="B252">
        <v>2</v>
      </c>
      <c r="C252">
        <v>2</v>
      </c>
      <c r="D252">
        <f>VLOOKUP(B252,PRODUCTS!A:E,4,FALSE)*C252</f>
        <v>1998</v>
      </c>
      <c r="E252">
        <f>(VLOOKUP(B252,PRODUCTS!A:E,4,FALSE) - VLOOKUP(B252,PRODUCTS!A:E,5,FALSE)) * C252</f>
        <v>798</v>
      </c>
    </row>
    <row r="253" spans="1:5" x14ac:dyDescent="0.35">
      <c r="A253">
        <v>79</v>
      </c>
      <c r="B253">
        <v>5</v>
      </c>
      <c r="C253">
        <v>4</v>
      </c>
      <c r="D253">
        <f>VLOOKUP(B253,PRODUCTS!A:E,4,FALSE)*C253</f>
        <v>1596</v>
      </c>
      <c r="E253">
        <f>(VLOOKUP(B253,PRODUCTS!A:E,4,FALSE) - VLOOKUP(B253,PRODUCTS!A:E,5,FALSE)) * C253</f>
        <v>796</v>
      </c>
    </row>
    <row r="254" spans="1:5" x14ac:dyDescent="0.35">
      <c r="A254">
        <v>148</v>
      </c>
      <c r="B254">
        <v>2</v>
      </c>
      <c r="C254">
        <v>3</v>
      </c>
      <c r="D254">
        <f>VLOOKUP(B254,PRODUCTS!A:E,4,FALSE)*C254</f>
        <v>2997</v>
      </c>
      <c r="E254">
        <f>(VLOOKUP(B254,PRODUCTS!A:E,4,FALSE) - VLOOKUP(B254,PRODUCTS!A:E,5,FALSE)) * C254</f>
        <v>1197</v>
      </c>
    </row>
    <row r="255" spans="1:5" x14ac:dyDescent="0.35">
      <c r="A255">
        <v>106</v>
      </c>
      <c r="B255">
        <v>20</v>
      </c>
      <c r="C255">
        <v>5</v>
      </c>
      <c r="D255">
        <f>VLOOKUP(B255,PRODUCTS!A:E,4,FALSE)*C255</f>
        <v>6995</v>
      </c>
      <c r="E255">
        <f>(VLOOKUP(B255,PRODUCTS!A:E,4,FALSE) - VLOOKUP(B255,PRODUCTS!A:E,5,FALSE)) * C255</f>
        <v>2745</v>
      </c>
    </row>
    <row r="256" spans="1:5" x14ac:dyDescent="0.35">
      <c r="A256">
        <v>182</v>
      </c>
      <c r="B256">
        <v>21</v>
      </c>
      <c r="C256">
        <v>5</v>
      </c>
      <c r="D256">
        <f>VLOOKUP(B256,PRODUCTS!A:E,4,FALSE)*C256</f>
        <v>1495</v>
      </c>
      <c r="E256">
        <f>(VLOOKUP(B256,PRODUCTS!A:E,4,FALSE) - VLOOKUP(B256,PRODUCTS!A:E,5,FALSE)) * C256</f>
        <v>745</v>
      </c>
    </row>
    <row r="257" spans="1:5" x14ac:dyDescent="0.35">
      <c r="A257">
        <v>13</v>
      </c>
      <c r="B257">
        <v>21</v>
      </c>
      <c r="C257">
        <v>4</v>
      </c>
      <c r="D257">
        <f>VLOOKUP(B257,PRODUCTS!A:E,4,FALSE)*C257</f>
        <v>1196</v>
      </c>
      <c r="E257">
        <f>(VLOOKUP(B257,PRODUCTS!A:E,4,FALSE) - VLOOKUP(B257,PRODUCTS!A:E,5,FALSE)) * C257</f>
        <v>596</v>
      </c>
    </row>
    <row r="258" spans="1:5" x14ac:dyDescent="0.35">
      <c r="A258">
        <v>3</v>
      </c>
      <c r="B258">
        <v>4</v>
      </c>
      <c r="C258">
        <v>4</v>
      </c>
      <c r="D258">
        <f>VLOOKUP(B258,PRODUCTS!A:E,4,FALSE)*C258</f>
        <v>4796</v>
      </c>
      <c r="E258">
        <f>(VLOOKUP(B258,PRODUCTS!A:E,4,FALSE) - VLOOKUP(B258,PRODUCTS!A:E,5,FALSE)) * C258</f>
        <v>1996</v>
      </c>
    </row>
    <row r="259" spans="1:5" x14ac:dyDescent="0.35">
      <c r="A259">
        <v>56</v>
      </c>
      <c r="B259">
        <v>4</v>
      </c>
      <c r="C259">
        <v>1</v>
      </c>
      <c r="D259">
        <f>VLOOKUP(B259,PRODUCTS!A:E,4,FALSE)*C259</f>
        <v>1199</v>
      </c>
      <c r="E259">
        <f>(VLOOKUP(B259,PRODUCTS!A:E,4,FALSE) - VLOOKUP(B259,PRODUCTS!A:E,5,FALSE)) * C259</f>
        <v>499</v>
      </c>
    </row>
    <row r="260" spans="1:5" x14ac:dyDescent="0.35">
      <c r="A260">
        <v>143</v>
      </c>
      <c r="B260">
        <v>1</v>
      </c>
      <c r="C260">
        <v>3</v>
      </c>
      <c r="D260">
        <f>VLOOKUP(B260,PRODUCTS!A:E,4,FALSE)*C260</f>
        <v>1497</v>
      </c>
      <c r="E260">
        <f>(VLOOKUP(B260,PRODUCTS!A:E,4,FALSE) - VLOOKUP(B260,PRODUCTS!A:E,5,FALSE)) * C260</f>
        <v>747</v>
      </c>
    </row>
    <row r="261" spans="1:5" x14ac:dyDescent="0.35">
      <c r="A261">
        <v>158</v>
      </c>
      <c r="B261">
        <v>12</v>
      </c>
      <c r="C261">
        <v>5</v>
      </c>
      <c r="D261">
        <f>VLOOKUP(B261,PRODUCTS!A:E,4,FALSE)*C261</f>
        <v>5995</v>
      </c>
      <c r="E261">
        <f>(VLOOKUP(B261,PRODUCTS!A:E,4,FALSE) - VLOOKUP(B261,PRODUCTS!A:E,5,FALSE)) * C261</f>
        <v>2495</v>
      </c>
    </row>
    <row r="262" spans="1:5" x14ac:dyDescent="0.35">
      <c r="A262">
        <v>84</v>
      </c>
      <c r="B262">
        <v>10</v>
      </c>
      <c r="C262">
        <v>2</v>
      </c>
      <c r="D262">
        <f>VLOOKUP(B262,PRODUCTS!A:E,4,FALSE)*C262</f>
        <v>3198</v>
      </c>
      <c r="E262">
        <f>(VLOOKUP(B262,PRODUCTS!A:E,4,FALSE) - VLOOKUP(B262,PRODUCTS!A:E,5,FALSE)) * C262</f>
        <v>1298</v>
      </c>
    </row>
    <row r="263" spans="1:5" x14ac:dyDescent="0.35">
      <c r="A263">
        <v>161</v>
      </c>
      <c r="B263">
        <v>25</v>
      </c>
      <c r="C263">
        <v>1</v>
      </c>
      <c r="D263">
        <f>VLOOKUP(B263,PRODUCTS!A:E,4,FALSE)*C263</f>
        <v>799</v>
      </c>
      <c r="E263">
        <f>(VLOOKUP(B263,PRODUCTS!A:E,4,FALSE) - VLOOKUP(B263,PRODUCTS!A:E,5,FALSE)) * C263</f>
        <v>399</v>
      </c>
    </row>
    <row r="264" spans="1:5" x14ac:dyDescent="0.35">
      <c r="A264">
        <v>24</v>
      </c>
      <c r="B264">
        <v>11</v>
      </c>
      <c r="C264">
        <v>3</v>
      </c>
      <c r="D264">
        <f>VLOOKUP(B264,PRODUCTS!A:E,4,FALSE)*C264</f>
        <v>2397</v>
      </c>
      <c r="E264">
        <f>(VLOOKUP(B264,PRODUCTS!A:E,4,FALSE) - VLOOKUP(B264,PRODUCTS!A:E,5,FALSE)) * C264</f>
        <v>1197</v>
      </c>
    </row>
    <row r="265" spans="1:5" x14ac:dyDescent="0.35">
      <c r="A265">
        <v>66</v>
      </c>
      <c r="B265">
        <v>3</v>
      </c>
      <c r="C265">
        <v>3</v>
      </c>
      <c r="D265">
        <f>VLOOKUP(B265,PRODUCTS!A:E,4,FALSE)*C265</f>
        <v>2397</v>
      </c>
      <c r="E265">
        <f>(VLOOKUP(B265,PRODUCTS!A:E,4,FALSE) - VLOOKUP(B265,PRODUCTS!A:E,5,FALSE)) * C265</f>
        <v>1047</v>
      </c>
    </row>
    <row r="266" spans="1:5" x14ac:dyDescent="0.35">
      <c r="A266">
        <v>196</v>
      </c>
      <c r="B266">
        <v>18</v>
      </c>
      <c r="C266">
        <v>2</v>
      </c>
      <c r="D266">
        <f>VLOOKUP(B266,PRODUCTS!A:E,4,FALSE)*C266</f>
        <v>1598</v>
      </c>
      <c r="E266">
        <f>(VLOOKUP(B266,PRODUCTS!A:E,4,FALSE) - VLOOKUP(B266,PRODUCTS!A:E,5,FALSE)) * C266</f>
        <v>698</v>
      </c>
    </row>
    <row r="267" spans="1:5" x14ac:dyDescent="0.35">
      <c r="A267">
        <v>141</v>
      </c>
      <c r="B267">
        <v>25</v>
      </c>
      <c r="C267">
        <v>1</v>
      </c>
      <c r="D267">
        <f>VLOOKUP(B267,PRODUCTS!A:E,4,FALSE)*C267</f>
        <v>799</v>
      </c>
      <c r="E267">
        <f>(VLOOKUP(B267,PRODUCTS!A:E,4,FALSE) - VLOOKUP(B267,PRODUCTS!A:E,5,FALSE)) * C267</f>
        <v>399</v>
      </c>
    </row>
    <row r="268" spans="1:5" x14ac:dyDescent="0.35">
      <c r="A268">
        <v>86</v>
      </c>
      <c r="B268">
        <v>11</v>
      </c>
      <c r="C268">
        <v>4</v>
      </c>
      <c r="D268">
        <f>VLOOKUP(B268,PRODUCTS!A:E,4,FALSE)*C268</f>
        <v>3196</v>
      </c>
      <c r="E268">
        <f>(VLOOKUP(B268,PRODUCTS!A:E,4,FALSE) - VLOOKUP(B268,PRODUCTS!A:E,5,FALSE)) * C268</f>
        <v>1596</v>
      </c>
    </row>
    <row r="269" spans="1:5" x14ac:dyDescent="0.35">
      <c r="A269">
        <v>91</v>
      </c>
      <c r="B269">
        <v>12</v>
      </c>
      <c r="C269">
        <v>2</v>
      </c>
      <c r="D269">
        <f>VLOOKUP(B269,PRODUCTS!A:E,4,FALSE)*C269</f>
        <v>2398</v>
      </c>
      <c r="E269">
        <f>(VLOOKUP(B269,PRODUCTS!A:E,4,FALSE) - VLOOKUP(B269,PRODUCTS!A:E,5,FALSE)) * C269</f>
        <v>998</v>
      </c>
    </row>
    <row r="270" spans="1:5" x14ac:dyDescent="0.35">
      <c r="A270">
        <v>119</v>
      </c>
      <c r="B270">
        <v>18</v>
      </c>
      <c r="C270">
        <v>2</v>
      </c>
      <c r="D270">
        <f>VLOOKUP(B270,PRODUCTS!A:E,4,FALSE)*C270</f>
        <v>1598</v>
      </c>
      <c r="E270">
        <f>(VLOOKUP(B270,PRODUCTS!A:E,4,FALSE) - VLOOKUP(B270,PRODUCTS!A:E,5,FALSE)) * C270</f>
        <v>698</v>
      </c>
    </row>
    <row r="271" spans="1:5" x14ac:dyDescent="0.35">
      <c r="A271">
        <v>49</v>
      </c>
      <c r="B271">
        <v>13</v>
      </c>
      <c r="C271">
        <v>3</v>
      </c>
      <c r="D271">
        <f>VLOOKUP(B271,PRODUCTS!A:E,4,FALSE)*C271</f>
        <v>1497</v>
      </c>
      <c r="E271">
        <f>(VLOOKUP(B271,PRODUCTS!A:E,4,FALSE) - VLOOKUP(B271,PRODUCTS!A:E,5,FALSE)) * C271</f>
        <v>747</v>
      </c>
    </row>
    <row r="272" spans="1:5" x14ac:dyDescent="0.35">
      <c r="A272">
        <v>118</v>
      </c>
      <c r="B272">
        <v>15</v>
      </c>
      <c r="C272">
        <v>3</v>
      </c>
      <c r="D272">
        <f>VLOOKUP(B272,PRODUCTS!A:E,4,FALSE)*C272</f>
        <v>4497</v>
      </c>
      <c r="E272">
        <f>(VLOOKUP(B272,PRODUCTS!A:E,4,FALSE) - VLOOKUP(B272,PRODUCTS!A:E,5,FALSE)) * C272</f>
        <v>1797</v>
      </c>
    </row>
    <row r="273" spans="1:5" x14ac:dyDescent="0.35">
      <c r="A273">
        <v>31</v>
      </c>
      <c r="B273">
        <v>12</v>
      </c>
      <c r="C273">
        <v>3</v>
      </c>
      <c r="D273">
        <f>VLOOKUP(B273,PRODUCTS!A:E,4,FALSE)*C273</f>
        <v>3597</v>
      </c>
      <c r="E273">
        <f>(VLOOKUP(B273,PRODUCTS!A:E,4,FALSE) - VLOOKUP(B273,PRODUCTS!A:E,5,FALSE)) * C273</f>
        <v>1497</v>
      </c>
    </row>
    <row r="274" spans="1:5" x14ac:dyDescent="0.35">
      <c r="A274">
        <v>117</v>
      </c>
      <c r="B274">
        <v>1</v>
      </c>
      <c r="C274">
        <v>5</v>
      </c>
      <c r="D274">
        <f>VLOOKUP(B274,PRODUCTS!A:E,4,FALSE)*C274</f>
        <v>2495</v>
      </c>
      <c r="E274">
        <f>(VLOOKUP(B274,PRODUCTS!A:E,4,FALSE) - VLOOKUP(B274,PRODUCTS!A:E,5,FALSE)) * C274</f>
        <v>1245</v>
      </c>
    </row>
    <row r="275" spans="1:5" x14ac:dyDescent="0.35">
      <c r="A275">
        <v>21</v>
      </c>
      <c r="B275">
        <v>18</v>
      </c>
      <c r="C275">
        <v>1</v>
      </c>
      <c r="D275">
        <f>VLOOKUP(B275,PRODUCTS!A:E,4,FALSE)*C275</f>
        <v>799</v>
      </c>
      <c r="E275">
        <f>(VLOOKUP(B275,PRODUCTS!A:E,4,FALSE) - VLOOKUP(B275,PRODUCTS!A:E,5,FALSE)) * C275</f>
        <v>349</v>
      </c>
    </row>
    <row r="276" spans="1:5" x14ac:dyDescent="0.35">
      <c r="A276">
        <v>59</v>
      </c>
      <c r="B276">
        <v>4</v>
      </c>
      <c r="C276">
        <v>4</v>
      </c>
      <c r="D276">
        <f>VLOOKUP(B276,PRODUCTS!A:E,4,FALSE)*C276</f>
        <v>4796</v>
      </c>
      <c r="E276">
        <f>(VLOOKUP(B276,PRODUCTS!A:E,4,FALSE) - VLOOKUP(B276,PRODUCTS!A:E,5,FALSE)) * C276</f>
        <v>1996</v>
      </c>
    </row>
    <row r="277" spans="1:5" x14ac:dyDescent="0.35">
      <c r="A277">
        <v>40</v>
      </c>
      <c r="B277">
        <v>19</v>
      </c>
      <c r="C277">
        <v>2</v>
      </c>
      <c r="D277">
        <f>VLOOKUP(B277,PRODUCTS!A:E,4,FALSE)*C277</f>
        <v>2598</v>
      </c>
      <c r="E277">
        <f>(VLOOKUP(B277,PRODUCTS!A:E,4,FALSE) - VLOOKUP(B277,PRODUCTS!A:E,5,FALSE)) * C277</f>
        <v>998</v>
      </c>
    </row>
    <row r="278" spans="1:5" x14ac:dyDescent="0.35">
      <c r="A278">
        <v>81</v>
      </c>
      <c r="B278">
        <v>6</v>
      </c>
      <c r="C278">
        <v>3</v>
      </c>
      <c r="D278">
        <f>VLOOKUP(B278,PRODUCTS!A:E,4,FALSE)*C278</f>
        <v>2097</v>
      </c>
      <c r="E278">
        <f>(VLOOKUP(B278,PRODUCTS!A:E,4,FALSE) - VLOOKUP(B278,PRODUCTS!A:E,5,FALSE)) * C278</f>
        <v>1047</v>
      </c>
    </row>
    <row r="279" spans="1:5" x14ac:dyDescent="0.35">
      <c r="A279">
        <v>10</v>
      </c>
      <c r="B279">
        <v>24</v>
      </c>
      <c r="C279">
        <v>4</v>
      </c>
      <c r="D279">
        <f>VLOOKUP(B279,PRODUCTS!A:E,4,FALSE)*C279</f>
        <v>2796</v>
      </c>
      <c r="E279">
        <f>(VLOOKUP(B279,PRODUCTS!A:E,4,FALSE) - VLOOKUP(B279,PRODUCTS!A:E,5,FALSE)) * C279</f>
        <v>1396</v>
      </c>
    </row>
    <row r="280" spans="1:5" x14ac:dyDescent="0.35">
      <c r="A280">
        <v>112</v>
      </c>
      <c r="B280">
        <v>18</v>
      </c>
      <c r="C280">
        <v>2</v>
      </c>
      <c r="D280">
        <f>VLOOKUP(B280,PRODUCTS!A:E,4,FALSE)*C280</f>
        <v>1598</v>
      </c>
      <c r="E280">
        <f>(VLOOKUP(B280,PRODUCTS!A:E,4,FALSE) - VLOOKUP(B280,PRODUCTS!A:E,5,FALSE)) * C280</f>
        <v>698</v>
      </c>
    </row>
    <row r="281" spans="1:5" x14ac:dyDescent="0.35">
      <c r="A281">
        <v>195</v>
      </c>
      <c r="B281">
        <v>3</v>
      </c>
      <c r="C281">
        <v>2</v>
      </c>
      <c r="D281">
        <f>VLOOKUP(B281,PRODUCTS!A:E,4,FALSE)*C281</f>
        <v>1598</v>
      </c>
      <c r="E281">
        <f>(VLOOKUP(B281,PRODUCTS!A:E,4,FALSE) - VLOOKUP(B281,PRODUCTS!A:E,5,FALSE)) * C281</f>
        <v>698</v>
      </c>
    </row>
    <row r="282" spans="1:5" x14ac:dyDescent="0.35">
      <c r="A282">
        <v>160</v>
      </c>
      <c r="B282">
        <v>6</v>
      </c>
      <c r="C282">
        <v>4</v>
      </c>
      <c r="D282">
        <f>VLOOKUP(B282,PRODUCTS!A:E,4,FALSE)*C282</f>
        <v>2796</v>
      </c>
      <c r="E282">
        <f>(VLOOKUP(B282,PRODUCTS!A:E,4,FALSE) - VLOOKUP(B282,PRODUCTS!A:E,5,FALSE)) * C282</f>
        <v>1396</v>
      </c>
    </row>
    <row r="283" spans="1:5" x14ac:dyDescent="0.35">
      <c r="A283">
        <v>97</v>
      </c>
      <c r="B283">
        <v>14</v>
      </c>
      <c r="C283">
        <v>5</v>
      </c>
      <c r="D283">
        <f>VLOOKUP(B283,PRODUCTS!A:E,4,FALSE)*C283</f>
        <v>3495</v>
      </c>
      <c r="E283">
        <f>(VLOOKUP(B283,PRODUCTS!A:E,4,FALSE) - VLOOKUP(B283,PRODUCTS!A:E,5,FALSE)) * C283</f>
        <v>1745</v>
      </c>
    </row>
    <row r="284" spans="1:5" x14ac:dyDescent="0.35">
      <c r="A284">
        <v>145</v>
      </c>
      <c r="B284">
        <v>4</v>
      </c>
      <c r="C284">
        <v>3</v>
      </c>
      <c r="D284">
        <f>VLOOKUP(B284,PRODUCTS!A:E,4,FALSE)*C284</f>
        <v>3597</v>
      </c>
      <c r="E284">
        <f>(VLOOKUP(B284,PRODUCTS!A:E,4,FALSE) - VLOOKUP(B284,PRODUCTS!A:E,5,FALSE)) * C284</f>
        <v>1497</v>
      </c>
    </row>
    <row r="285" spans="1:5" x14ac:dyDescent="0.35">
      <c r="A285">
        <v>101</v>
      </c>
      <c r="B285">
        <v>21</v>
      </c>
      <c r="C285">
        <v>4</v>
      </c>
      <c r="D285">
        <f>VLOOKUP(B285,PRODUCTS!A:E,4,FALSE)*C285</f>
        <v>1196</v>
      </c>
      <c r="E285">
        <f>(VLOOKUP(B285,PRODUCTS!A:E,4,FALSE) - VLOOKUP(B285,PRODUCTS!A:E,5,FALSE)) * C285</f>
        <v>596</v>
      </c>
    </row>
    <row r="286" spans="1:5" x14ac:dyDescent="0.35">
      <c r="A286">
        <v>2</v>
      </c>
      <c r="B286">
        <v>23</v>
      </c>
      <c r="C286">
        <v>3</v>
      </c>
      <c r="D286">
        <f>VLOOKUP(B286,PRODUCTS!A:E,4,FALSE)*C286</f>
        <v>1797</v>
      </c>
      <c r="E286">
        <f>(VLOOKUP(B286,PRODUCTS!A:E,4,FALSE) - VLOOKUP(B286,PRODUCTS!A:E,5,FALSE)) * C286</f>
        <v>897</v>
      </c>
    </row>
    <row r="287" spans="1:5" x14ac:dyDescent="0.35">
      <c r="A287">
        <v>17</v>
      </c>
      <c r="B287">
        <v>11</v>
      </c>
      <c r="C287">
        <v>5</v>
      </c>
      <c r="D287">
        <f>VLOOKUP(B287,PRODUCTS!A:E,4,FALSE)*C287</f>
        <v>3995</v>
      </c>
      <c r="E287">
        <f>(VLOOKUP(B287,PRODUCTS!A:E,4,FALSE) - VLOOKUP(B287,PRODUCTS!A:E,5,FALSE)) * C287</f>
        <v>1995</v>
      </c>
    </row>
    <row r="288" spans="1:5" x14ac:dyDescent="0.35">
      <c r="A288">
        <v>188</v>
      </c>
      <c r="B288">
        <v>7</v>
      </c>
      <c r="C288">
        <v>3</v>
      </c>
      <c r="D288">
        <f>VLOOKUP(B288,PRODUCTS!A:E,4,FALSE)*C288</f>
        <v>4497</v>
      </c>
      <c r="E288">
        <f>(VLOOKUP(B288,PRODUCTS!A:E,4,FALSE) - VLOOKUP(B288,PRODUCTS!A:E,5,FALSE)) * C288</f>
        <v>1797</v>
      </c>
    </row>
    <row r="289" spans="1:5" x14ac:dyDescent="0.35">
      <c r="A289">
        <v>171</v>
      </c>
      <c r="B289">
        <v>21</v>
      </c>
      <c r="C289">
        <v>4</v>
      </c>
      <c r="D289">
        <f>VLOOKUP(B289,PRODUCTS!A:E,4,FALSE)*C289</f>
        <v>1196</v>
      </c>
      <c r="E289">
        <f>(VLOOKUP(B289,PRODUCTS!A:E,4,FALSE) - VLOOKUP(B289,PRODUCTS!A:E,5,FALSE)) * C289</f>
        <v>596</v>
      </c>
    </row>
    <row r="290" spans="1:5" x14ac:dyDescent="0.35">
      <c r="A290">
        <v>1</v>
      </c>
      <c r="B290">
        <v>25</v>
      </c>
      <c r="C290">
        <v>3</v>
      </c>
      <c r="D290">
        <f>VLOOKUP(B290,PRODUCTS!A:E,4,FALSE)*C290</f>
        <v>2397</v>
      </c>
      <c r="E290">
        <f>(VLOOKUP(B290,PRODUCTS!A:E,4,FALSE) - VLOOKUP(B290,PRODUCTS!A:E,5,FALSE)) * C290</f>
        <v>1197</v>
      </c>
    </row>
    <row r="291" spans="1:5" x14ac:dyDescent="0.35">
      <c r="A291">
        <v>21</v>
      </c>
      <c r="B291">
        <v>11</v>
      </c>
      <c r="C291">
        <v>4</v>
      </c>
      <c r="D291">
        <f>VLOOKUP(B291,PRODUCTS!A:E,4,FALSE)*C291</f>
        <v>3196</v>
      </c>
      <c r="E291">
        <f>(VLOOKUP(B291,PRODUCTS!A:E,4,FALSE) - VLOOKUP(B291,PRODUCTS!A:E,5,FALSE)) * C291</f>
        <v>1596</v>
      </c>
    </row>
    <row r="292" spans="1:5" x14ac:dyDescent="0.35">
      <c r="A292">
        <v>119</v>
      </c>
      <c r="B292">
        <v>8</v>
      </c>
      <c r="C292">
        <v>4</v>
      </c>
      <c r="D292">
        <f>VLOOKUP(B292,PRODUCTS!A:E,4,FALSE)*C292</f>
        <v>2396</v>
      </c>
      <c r="E292">
        <f>(VLOOKUP(B292,PRODUCTS!A:E,4,FALSE) - VLOOKUP(B292,PRODUCTS!A:E,5,FALSE)) * C292</f>
        <v>1196</v>
      </c>
    </row>
    <row r="293" spans="1:5" x14ac:dyDescent="0.35">
      <c r="A293">
        <v>107</v>
      </c>
      <c r="B293">
        <v>22</v>
      </c>
      <c r="C293">
        <v>3</v>
      </c>
      <c r="D293">
        <f>VLOOKUP(B293,PRODUCTS!A:E,4,FALSE)*C293</f>
        <v>1047</v>
      </c>
      <c r="E293">
        <f>(VLOOKUP(B293,PRODUCTS!A:E,4,FALSE) - VLOOKUP(B293,PRODUCTS!A:E,5,FALSE)) * C293</f>
        <v>507</v>
      </c>
    </row>
    <row r="294" spans="1:5" x14ac:dyDescent="0.35">
      <c r="A294">
        <v>63</v>
      </c>
      <c r="B294">
        <v>24</v>
      </c>
      <c r="C294">
        <v>1</v>
      </c>
      <c r="D294">
        <f>VLOOKUP(B294,PRODUCTS!A:E,4,FALSE)*C294</f>
        <v>699</v>
      </c>
      <c r="E294">
        <f>(VLOOKUP(B294,PRODUCTS!A:E,4,FALSE) - VLOOKUP(B294,PRODUCTS!A:E,5,FALSE)) * C294</f>
        <v>349</v>
      </c>
    </row>
    <row r="295" spans="1:5" x14ac:dyDescent="0.35">
      <c r="A295">
        <v>111</v>
      </c>
      <c r="B295">
        <v>4</v>
      </c>
      <c r="C295">
        <v>2</v>
      </c>
      <c r="D295">
        <f>VLOOKUP(B295,PRODUCTS!A:E,4,FALSE)*C295</f>
        <v>2398</v>
      </c>
      <c r="E295">
        <f>(VLOOKUP(B295,PRODUCTS!A:E,4,FALSE) - VLOOKUP(B295,PRODUCTS!A:E,5,FALSE)) * C295</f>
        <v>998</v>
      </c>
    </row>
    <row r="296" spans="1:5" x14ac:dyDescent="0.35">
      <c r="A296">
        <v>62</v>
      </c>
      <c r="B296">
        <v>5</v>
      </c>
      <c r="C296">
        <v>3</v>
      </c>
      <c r="D296">
        <f>VLOOKUP(B296,PRODUCTS!A:E,4,FALSE)*C296</f>
        <v>1197</v>
      </c>
      <c r="E296">
        <f>(VLOOKUP(B296,PRODUCTS!A:E,4,FALSE) - VLOOKUP(B296,PRODUCTS!A:E,5,FALSE)) * C296</f>
        <v>597</v>
      </c>
    </row>
    <row r="297" spans="1:5" x14ac:dyDescent="0.35">
      <c r="A297">
        <v>101</v>
      </c>
      <c r="B297">
        <v>16</v>
      </c>
      <c r="C297">
        <v>2</v>
      </c>
      <c r="D297">
        <f>VLOOKUP(B297,PRODUCTS!A:E,4,FALSE)*C297</f>
        <v>1198</v>
      </c>
      <c r="E297">
        <f>(VLOOKUP(B297,PRODUCTS!A:E,4,FALSE) - VLOOKUP(B297,PRODUCTS!A:E,5,FALSE)) * C297</f>
        <v>598</v>
      </c>
    </row>
    <row r="298" spans="1:5" x14ac:dyDescent="0.35">
      <c r="A298">
        <v>124</v>
      </c>
      <c r="B298">
        <v>6</v>
      </c>
      <c r="C298">
        <v>4</v>
      </c>
      <c r="D298">
        <f>VLOOKUP(B298,PRODUCTS!A:E,4,FALSE)*C298</f>
        <v>2796</v>
      </c>
      <c r="E298">
        <f>(VLOOKUP(B298,PRODUCTS!A:E,4,FALSE) - VLOOKUP(B298,PRODUCTS!A:E,5,FALSE)) * C298</f>
        <v>1396</v>
      </c>
    </row>
    <row r="299" spans="1:5" x14ac:dyDescent="0.35">
      <c r="A299">
        <v>195</v>
      </c>
      <c r="B299">
        <v>11</v>
      </c>
      <c r="C299">
        <v>5</v>
      </c>
      <c r="D299">
        <f>VLOOKUP(B299,PRODUCTS!A:E,4,FALSE)*C299</f>
        <v>3995</v>
      </c>
      <c r="E299">
        <f>(VLOOKUP(B299,PRODUCTS!A:E,4,FALSE) - VLOOKUP(B299,PRODUCTS!A:E,5,FALSE)) * C299</f>
        <v>1995</v>
      </c>
    </row>
    <row r="300" spans="1:5" x14ac:dyDescent="0.35">
      <c r="A300">
        <v>46</v>
      </c>
      <c r="B300">
        <v>24</v>
      </c>
      <c r="C300">
        <v>4</v>
      </c>
      <c r="D300">
        <f>VLOOKUP(B300,PRODUCTS!A:E,4,FALSE)*C300</f>
        <v>2796</v>
      </c>
      <c r="E300">
        <f>(VLOOKUP(B300,PRODUCTS!A:E,4,FALSE) - VLOOKUP(B300,PRODUCTS!A:E,5,FALSE)) * C300</f>
        <v>1396</v>
      </c>
    </row>
    <row r="301" spans="1:5" x14ac:dyDescent="0.35">
      <c r="A301">
        <v>37</v>
      </c>
      <c r="B301">
        <v>15</v>
      </c>
      <c r="C301">
        <v>1</v>
      </c>
      <c r="D301">
        <f>VLOOKUP(B301,PRODUCTS!A:E,4,FALSE)*C301</f>
        <v>1499</v>
      </c>
      <c r="E301">
        <f>(VLOOKUP(B301,PRODUCTS!A:E,4,FALSE) - VLOOKUP(B301,PRODUCTS!A:E,5,FALSE)) * C301</f>
        <v>599</v>
      </c>
    </row>
    <row r="302" spans="1:5" x14ac:dyDescent="0.35">
      <c r="A302">
        <v>159</v>
      </c>
      <c r="B302">
        <v>25</v>
      </c>
      <c r="C302">
        <v>3</v>
      </c>
      <c r="D302">
        <f>VLOOKUP(B302,PRODUCTS!A:E,4,FALSE)*C302</f>
        <v>2397</v>
      </c>
      <c r="E302">
        <f>(VLOOKUP(B302,PRODUCTS!A:E,4,FALSE) - VLOOKUP(B302,PRODUCTS!A:E,5,FALSE)) * C302</f>
        <v>1197</v>
      </c>
    </row>
    <row r="303" spans="1:5" x14ac:dyDescent="0.35">
      <c r="A303">
        <v>56</v>
      </c>
      <c r="B303">
        <v>24</v>
      </c>
      <c r="C303">
        <v>5</v>
      </c>
      <c r="D303">
        <f>VLOOKUP(B303,PRODUCTS!A:E,4,FALSE)*C303</f>
        <v>3495</v>
      </c>
      <c r="E303">
        <f>(VLOOKUP(B303,PRODUCTS!A:E,4,FALSE) - VLOOKUP(B303,PRODUCTS!A:E,5,FALSE)) * C303</f>
        <v>1745</v>
      </c>
    </row>
    <row r="304" spans="1:5" x14ac:dyDescent="0.35">
      <c r="A304">
        <v>8</v>
      </c>
      <c r="B304">
        <v>12</v>
      </c>
      <c r="C304">
        <v>2</v>
      </c>
      <c r="D304">
        <f>VLOOKUP(B304,PRODUCTS!A:E,4,FALSE)*C304</f>
        <v>2398</v>
      </c>
      <c r="E304">
        <f>(VLOOKUP(B304,PRODUCTS!A:E,4,FALSE) - VLOOKUP(B304,PRODUCTS!A:E,5,FALSE)) * C304</f>
        <v>998</v>
      </c>
    </row>
    <row r="305" spans="1:5" x14ac:dyDescent="0.35">
      <c r="A305">
        <v>161</v>
      </c>
      <c r="B305">
        <v>13</v>
      </c>
      <c r="C305">
        <v>5</v>
      </c>
      <c r="D305">
        <f>VLOOKUP(B305,PRODUCTS!A:E,4,FALSE)*C305</f>
        <v>2495</v>
      </c>
      <c r="E305">
        <f>(VLOOKUP(B305,PRODUCTS!A:E,4,FALSE) - VLOOKUP(B305,PRODUCTS!A:E,5,FALSE)) * C305</f>
        <v>1245</v>
      </c>
    </row>
    <row r="306" spans="1:5" x14ac:dyDescent="0.35">
      <c r="A306">
        <v>92</v>
      </c>
      <c r="B306">
        <v>22</v>
      </c>
      <c r="C306">
        <v>4</v>
      </c>
      <c r="D306">
        <f>VLOOKUP(B306,PRODUCTS!A:E,4,FALSE)*C306</f>
        <v>1396</v>
      </c>
      <c r="E306">
        <f>(VLOOKUP(B306,PRODUCTS!A:E,4,FALSE) - VLOOKUP(B306,PRODUCTS!A:E,5,FALSE)) * C306</f>
        <v>676</v>
      </c>
    </row>
    <row r="307" spans="1:5" x14ac:dyDescent="0.35">
      <c r="A307">
        <v>78</v>
      </c>
      <c r="B307">
        <v>22</v>
      </c>
      <c r="C307">
        <v>5</v>
      </c>
      <c r="D307">
        <f>VLOOKUP(B307,PRODUCTS!A:E,4,FALSE)*C307</f>
        <v>1745</v>
      </c>
      <c r="E307">
        <f>(VLOOKUP(B307,PRODUCTS!A:E,4,FALSE) - VLOOKUP(B307,PRODUCTS!A:E,5,FALSE)) * C307</f>
        <v>845</v>
      </c>
    </row>
    <row r="308" spans="1:5" x14ac:dyDescent="0.35">
      <c r="A308">
        <v>192</v>
      </c>
      <c r="B308">
        <v>19</v>
      </c>
      <c r="C308">
        <v>4</v>
      </c>
      <c r="D308">
        <f>VLOOKUP(B308,PRODUCTS!A:E,4,FALSE)*C308</f>
        <v>5196</v>
      </c>
      <c r="E308">
        <f>(VLOOKUP(B308,PRODUCTS!A:E,4,FALSE) - VLOOKUP(B308,PRODUCTS!A:E,5,FALSE)) * C308</f>
        <v>1996</v>
      </c>
    </row>
    <row r="309" spans="1:5" x14ac:dyDescent="0.35">
      <c r="A309">
        <v>143</v>
      </c>
      <c r="B309">
        <v>11</v>
      </c>
      <c r="C309">
        <v>5</v>
      </c>
      <c r="D309">
        <f>VLOOKUP(B309,PRODUCTS!A:E,4,FALSE)*C309</f>
        <v>3995</v>
      </c>
      <c r="E309">
        <f>(VLOOKUP(B309,PRODUCTS!A:E,4,FALSE) - VLOOKUP(B309,PRODUCTS!A:E,5,FALSE)) * C309</f>
        <v>1995</v>
      </c>
    </row>
    <row r="310" spans="1:5" x14ac:dyDescent="0.35">
      <c r="A310">
        <v>149</v>
      </c>
      <c r="B310">
        <v>17</v>
      </c>
      <c r="C310">
        <v>2</v>
      </c>
      <c r="D310">
        <f>VLOOKUP(B310,PRODUCTS!A:E,4,FALSE)*C310</f>
        <v>798</v>
      </c>
      <c r="E310">
        <f>(VLOOKUP(B310,PRODUCTS!A:E,4,FALSE) - VLOOKUP(B310,PRODUCTS!A:E,5,FALSE)) * C310</f>
        <v>398</v>
      </c>
    </row>
    <row r="311" spans="1:5" x14ac:dyDescent="0.35">
      <c r="A311">
        <v>90</v>
      </c>
      <c r="B311">
        <v>14</v>
      </c>
      <c r="C311">
        <v>3</v>
      </c>
      <c r="D311">
        <f>VLOOKUP(B311,PRODUCTS!A:E,4,FALSE)*C311</f>
        <v>2097</v>
      </c>
      <c r="E311">
        <f>(VLOOKUP(B311,PRODUCTS!A:E,4,FALSE) - VLOOKUP(B311,PRODUCTS!A:E,5,FALSE)) * C311</f>
        <v>1047</v>
      </c>
    </row>
    <row r="312" spans="1:5" x14ac:dyDescent="0.35">
      <c r="A312">
        <v>87</v>
      </c>
      <c r="B312">
        <v>10</v>
      </c>
      <c r="C312">
        <v>1</v>
      </c>
      <c r="D312">
        <f>VLOOKUP(B312,PRODUCTS!A:E,4,FALSE)*C312</f>
        <v>1599</v>
      </c>
      <c r="E312">
        <f>(VLOOKUP(B312,PRODUCTS!A:E,4,FALSE) - VLOOKUP(B312,PRODUCTS!A:E,5,FALSE)) * C312</f>
        <v>649</v>
      </c>
    </row>
    <row r="313" spans="1:5" x14ac:dyDescent="0.35">
      <c r="A313">
        <v>6</v>
      </c>
      <c r="B313">
        <v>10</v>
      </c>
      <c r="C313">
        <v>4</v>
      </c>
      <c r="D313">
        <f>VLOOKUP(B313,PRODUCTS!A:E,4,FALSE)*C313</f>
        <v>6396</v>
      </c>
      <c r="E313">
        <f>(VLOOKUP(B313,PRODUCTS!A:E,4,FALSE) - VLOOKUP(B313,PRODUCTS!A:E,5,FALSE)) * C313</f>
        <v>2596</v>
      </c>
    </row>
    <row r="314" spans="1:5" x14ac:dyDescent="0.35">
      <c r="A314">
        <v>67</v>
      </c>
      <c r="B314">
        <v>16</v>
      </c>
      <c r="C314">
        <v>1</v>
      </c>
      <c r="D314">
        <f>VLOOKUP(B314,PRODUCTS!A:E,4,FALSE)*C314</f>
        <v>599</v>
      </c>
      <c r="E314">
        <f>(VLOOKUP(B314,PRODUCTS!A:E,4,FALSE) - VLOOKUP(B314,PRODUCTS!A:E,5,FALSE)) * C314</f>
        <v>299</v>
      </c>
    </row>
    <row r="315" spans="1:5" x14ac:dyDescent="0.35">
      <c r="A315">
        <v>170</v>
      </c>
      <c r="B315">
        <v>14</v>
      </c>
      <c r="C315">
        <v>5</v>
      </c>
      <c r="D315">
        <f>VLOOKUP(B315,PRODUCTS!A:E,4,FALSE)*C315</f>
        <v>3495</v>
      </c>
      <c r="E315">
        <f>(VLOOKUP(B315,PRODUCTS!A:E,4,FALSE) - VLOOKUP(B315,PRODUCTS!A:E,5,FALSE)) * C315</f>
        <v>1745</v>
      </c>
    </row>
    <row r="316" spans="1:5" x14ac:dyDescent="0.35">
      <c r="A316">
        <v>13</v>
      </c>
      <c r="B316">
        <v>18</v>
      </c>
      <c r="C316">
        <v>3</v>
      </c>
      <c r="D316">
        <f>VLOOKUP(B316,PRODUCTS!A:E,4,FALSE)*C316</f>
        <v>2397</v>
      </c>
      <c r="E316">
        <f>(VLOOKUP(B316,PRODUCTS!A:E,4,FALSE) - VLOOKUP(B316,PRODUCTS!A:E,5,FALSE)) * C316</f>
        <v>1047</v>
      </c>
    </row>
    <row r="317" spans="1:5" x14ac:dyDescent="0.35">
      <c r="A317">
        <v>140</v>
      </c>
      <c r="B317">
        <v>11</v>
      </c>
      <c r="C317">
        <v>5</v>
      </c>
      <c r="D317">
        <f>VLOOKUP(B317,PRODUCTS!A:E,4,FALSE)*C317</f>
        <v>3995</v>
      </c>
      <c r="E317">
        <f>(VLOOKUP(B317,PRODUCTS!A:E,4,FALSE) - VLOOKUP(B317,PRODUCTS!A:E,5,FALSE)) * C317</f>
        <v>1995</v>
      </c>
    </row>
    <row r="318" spans="1:5" x14ac:dyDescent="0.35">
      <c r="A318">
        <v>146</v>
      </c>
      <c r="B318">
        <v>13</v>
      </c>
      <c r="C318">
        <v>2</v>
      </c>
      <c r="D318">
        <f>VLOOKUP(B318,PRODUCTS!A:E,4,FALSE)*C318</f>
        <v>998</v>
      </c>
      <c r="E318">
        <f>(VLOOKUP(B318,PRODUCTS!A:E,4,FALSE) - VLOOKUP(B318,PRODUCTS!A:E,5,FALSE)) * C318</f>
        <v>498</v>
      </c>
    </row>
    <row r="319" spans="1:5" x14ac:dyDescent="0.35">
      <c r="A319">
        <v>87</v>
      </c>
      <c r="B319">
        <v>14</v>
      </c>
      <c r="C319">
        <v>1</v>
      </c>
      <c r="D319">
        <f>VLOOKUP(B319,PRODUCTS!A:E,4,FALSE)*C319</f>
        <v>699</v>
      </c>
      <c r="E319">
        <f>(VLOOKUP(B319,PRODUCTS!A:E,4,FALSE) - VLOOKUP(B319,PRODUCTS!A:E,5,FALSE)) * C319</f>
        <v>349</v>
      </c>
    </row>
    <row r="320" spans="1:5" x14ac:dyDescent="0.35">
      <c r="A320">
        <v>175</v>
      </c>
      <c r="B320">
        <v>23</v>
      </c>
      <c r="C320">
        <v>2</v>
      </c>
      <c r="D320">
        <f>VLOOKUP(B320,PRODUCTS!A:E,4,FALSE)*C320</f>
        <v>1198</v>
      </c>
      <c r="E320">
        <f>(VLOOKUP(B320,PRODUCTS!A:E,4,FALSE) - VLOOKUP(B320,PRODUCTS!A:E,5,FALSE)) * C320</f>
        <v>598</v>
      </c>
    </row>
    <row r="321" spans="1:5" x14ac:dyDescent="0.35">
      <c r="A321">
        <v>23</v>
      </c>
      <c r="B321">
        <v>5</v>
      </c>
      <c r="C321">
        <v>5</v>
      </c>
      <c r="D321">
        <f>VLOOKUP(B321,PRODUCTS!A:E,4,FALSE)*C321</f>
        <v>1995</v>
      </c>
      <c r="E321">
        <f>(VLOOKUP(B321,PRODUCTS!A:E,4,FALSE) - VLOOKUP(B321,PRODUCTS!A:E,5,FALSE)) * C321</f>
        <v>995</v>
      </c>
    </row>
    <row r="322" spans="1:5" x14ac:dyDescent="0.35">
      <c r="A322">
        <v>118</v>
      </c>
      <c r="B322">
        <v>16</v>
      </c>
      <c r="C322">
        <v>2</v>
      </c>
      <c r="D322">
        <f>VLOOKUP(B322,PRODUCTS!A:E,4,FALSE)*C322</f>
        <v>1198</v>
      </c>
      <c r="E322">
        <f>(VLOOKUP(B322,PRODUCTS!A:E,4,FALSE) - VLOOKUP(B322,PRODUCTS!A:E,5,FALSE)) * C322</f>
        <v>598</v>
      </c>
    </row>
    <row r="323" spans="1:5" x14ac:dyDescent="0.35">
      <c r="A323">
        <v>96</v>
      </c>
      <c r="B323">
        <v>19</v>
      </c>
      <c r="C323">
        <v>3</v>
      </c>
      <c r="D323">
        <f>VLOOKUP(B323,PRODUCTS!A:E,4,FALSE)*C323</f>
        <v>3897</v>
      </c>
      <c r="E323">
        <f>(VLOOKUP(B323,PRODUCTS!A:E,4,FALSE) - VLOOKUP(B323,PRODUCTS!A:E,5,FALSE)) * C323</f>
        <v>1497</v>
      </c>
    </row>
    <row r="324" spans="1:5" x14ac:dyDescent="0.35">
      <c r="A324">
        <v>147</v>
      </c>
      <c r="B324">
        <v>22</v>
      </c>
      <c r="C324">
        <v>3</v>
      </c>
      <c r="D324">
        <f>VLOOKUP(B324,PRODUCTS!A:E,4,FALSE)*C324</f>
        <v>1047</v>
      </c>
      <c r="E324">
        <f>(VLOOKUP(B324,PRODUCTS!A:E,4,FALSE) - VLOOKUP(B324,PRODUCTS!A:E,5,FALSE)) * C324</f>
        <v>507</v>
      </c>
    </row>
    <row r="325" spans="1:5" x14ac:dyDescent="0.35">
      <c r="A325">
        <v>75</v>
      </c>
      <c r="B325">
        <v>16</v>
      </c>
      <c r="C325">
        <v>2</v>
      </c>
      <c r="D325">
        <f>VLOOKUP(B325,PRODUCTS!A:E,4,FALSE)*C325</f>
        <v>1198</v>
      </c>
      <c r="E325">
        <f>(VLOOKUP(B325,PRODUCTS!A:E,4,FALSE) - VLOOKUP(B325,PRODUCTS!A:E,5,FALSE)) * C325</f>
        <v>598</v>
      </c>
    </row>
    <row r="326" spans="1:5" x14ac:dyDescent="0.35">
      <c r="A326">
        <v>169</v>
      </c>
      <c r="B326">
        <v>24</v>
      </c>
      <c r="C326">
        <v>3</v>
      </c>
      <c r="D326">
        <f>VLOOKUP(B326,PRODUCTS!A:E,4,FALSE)*C326</f>
        <v>2097</v>
      </c>
      <c r="E326">
        <f>(VLOOKUP(B326,PRODUCTS!A:E,4,FALSE) - VLOOKUP(B326,PRODUCTS!A:E,5,FALSE)) * C326</f>
        <v>1047</v>
      </c>
    </row>
    <row r="327" spans="1:5" x14ac:dyDescent="0.35">
      <c r="A327">
        <v>189</v>
      </c>
      <c r="B327">
        <v>2</v>
      </c>
      <c r="C327">
        <v>1</v>
      </c>
      <c r="D327">
        <f>VLOOKUP(B327,PRODUCTS!A:E,4,FALSE)*C327</f>
        <v>999</v>
      </c>
      <c r="E327">
        <f>(VLOOKUP(B327,PRODUCTS!A:E,4,FALSE) - VLOOKUP(B327,PRODUCTS!A:E,5,FALSE)) * C327</f>
        <v>399</v>
      </c>
    </row>
    <row r="328" spans="1:5" x14ac:dyDescent="0.35">
      <c r="A328">
        <v>60</v>
      </c>
      <c r="B328">
        <v>17</v>
      </c>
      <c r="C328">
        <v>2</v>
      </c>
      <c r="D328">
        <f>VLOOKUP(B328,PRODUCTS!A:E,4,FALSE)*C328</f>
        <v>798</v>
      </c>
      <c r="E328">
        <f>(VLOOKUP(B328,PRODUCTS!A:E,4,FALSE) - VLOOKUP(B328,PRODUCTS!A:E,5,FALSE)) * C328</f>
        <v>398</v>
      </c>
    </row>
    <row r="329" spans="1:5" x14ac:dyDescent="0.35">
      <c r="A329">
        <v>102</v>
      </c>
      <c r="B329">
        <v>24</v>
      </c>
      <c r="C329">
        <v>4</v>
      </c>
      <c r="D329">
        <f>VLOOKUP(B329,PRODUCTS!A:E,4,FALSE)*C329</f>
        <v>2796</v>
      </c>
      <c r="E329">
        <f>(VLOOKUP(B329,PRODUCTS!A:E,4,FALSE) - VLOOKUP(B329,PRODUCTS!A:E,5,FALSE)) * C329</f>
        <v>1396</v>
      </c>
    </row>
    <row r="330" spans="1:5" x14ac:dyDescent="0.35">
      <c r="A330">
        <v>171</v>
      </c>
      <c r="B330">
        <v>7</v>
      </c>
      <c r="C330">
        <v>3</v>
      </c>
      <c r="D330">
        <f>VLOOKUP(B330,PRODUCTS!A:E,4,FALSE)*C330</f>
        <v>4497</v>
      </c>
      <c r="E330">
        <f>(VLOOKUP(B330,PRODUCTS!A:E,4,FALSE) - VLOOKUP(B330,PRODUCTS!A:E,5,FALSE)) * C330</f>
        <v>1797</v>
      </c>
    </row>
    <row r="331" spans="1:5" x14ac:dyDescent="0.35">
      <c r="A331">
        <v>157</v>
      </c>
      <c r="B331">
        <v>2</v>
      </c>
      <c r="C331">
        <v>2</v>
      </c>
      <c r="D331">
        <f>VLOOKUP(B331,PRODUCTS!A:E,4,FALSE)*C331</f>
        <v>1998</v>
      </c>
      <c r="E331">
        <f>(VLOOKUP(B331,PRODUCTS!A:E,4,FALSE) - VLOOKUP(B331,PRODUCTS!A:E,5,FALSE)) * C331</f>
        <v>798</v>
      </c>
    </row>
    <row r="332" spans="1:5" x14ac:dyDescent="0.35">
      <c r="A332">
        <v>95</v>
      </c>
      <c r="B332">
        <v>3</v>
      </c>
      <c r="C332">
        <v>4</v>
      </c>
      <c r="D332">
        <f>VLOOKUP(B332,PRODUCTS!A:E,4,FALSE)*C332</f>
        <v>3196</v>
      </c>
      <c r="E332">
        <f>(VLOOKUP(B332,PRODUCTS!A:E,4,FALSE) - VLOOKUP(B332,PRODUCTS!A:E,5,FALSE)) * C332</f>
        <v>1396</v>
      </c>
    </row>
    <row r="333" spans="1:5" x14ac:dyDescent="0.35">
      <c r="A333">
        <v>139</v>
      </c>
      <c r="B333">
        <v>9</v>
      </c>
      <c r="C333">
        <v>4</v>
      </c>
      <c r="D333">
        <f>VLOOKUP(B333,PRODUCTS!A:E,4,FALSE)*C333</f>
        <v>3596</v>
      </c>
      <c r="E333">
        <f>(VLOOKUP(B333,PRODUCTS!A:E,4,FALSE) - VLOOKUP(B333,PRODUCTS!A:E,5,FALSE)) * C333</f>
        <v>1596</v>
      </c>
    </row>
    <row r="334" spans="1:5" x14ac:dyDescent="0.35">
      <c r="A334">
        <v>75</v>
      </c>
      <c r="B334">
        <v>14</v>
      </c>
      <c r="C334">
        <v>2</v>
      </c>
      <c r="D334">
        <f>VLOOKUP(B334,PRODUCTS!A:E,4,FALSE)*C334</f>
        <v>1398</v>
      </c>
      <c r="E334">
        <f>(VLOOKUP(B334,PRODUCTS!A:E,4,FALSE) - VLOOKUP(B334,PRODUCTS!A:E,5,FALSE)) * C334</f>
        <v>698</v>
      </c>
    </row>
    <row r="335" spans="1:5" x14ac:dyDescent="0.35">
      <c r="A335">
        <v>180</v>
      </c>
      <c r="B335">
        <v>4</v>
      </c>
      <c r="C335">
        <v>5</v>
      </c>
      <c r="D335">
        <f>VLOOKUP(B335,PRODUCTS!A:E,4,FALSE)*C335</f>
        <v>5995</v>
      </c>
      <c r="E335">
        <f>(VLOOKUP(B335,PRODUCTS!A:E,4,FALSE) - VLOOKUP(B335,PRODUCTS!A:E,5,FALSE)) * C335</f>
        <v>2495</v>
      </c>
    </row>
    <row r="336" spans="1:5" x14ac:dyDescent="0.35">
      <c r="A336">
        <v>57</v>
      </c>
      <c r="B336">
        <v>15</v>
      </c>
      <c r="C336">
        <v>1</v>
      </c>
      <c r="D336">
        <f>VLOOKUP(B336,PRODUCTS!A:E,4,FALSE)*C336</f>
        <v>1499</v>
      </c>
      <c r="E336">
        <f>(VLOOKUP(B336,PRODUCTS!A:E,4,FALSE) - VLOOKUP(B336,PRODUCTS!A:E,5,FALSE)) * C336</f>
        <v>599</v>
      </c>
    </row>
    <row r="337" spans="1:5" x14ac:dyDescent="0.35">
      <c r="A337">
        <v>40</v>
      </c>
      <c r="B337">
        <v>12</v>
      </c>
      <c r="C337">
        <v>4</v>
      </c>
      <c r="D337">
        <f>VLOOKUP(B337,PRODUCTS!A:E,4,FALSE)*C337</f>
        <v>4796</v>
      </c>
      <c r="E337">
        <f>(VLOOKUP(B337,PRODUCTS!A:E,4,FALSE) - VLOOKUP(B337,PRODUCTS!A:E,5,FALSE)) * C337</f>
        <v>1996</v>
      </c>
    </row>
    <row r="338" spans="1:5" x14ac:dyDescent="0.35">
      <c r="A338">
        <v>128</v>
      </c>
      <c r="B338">
        <v>3</v>
      </c>
      <c r="C338">
        <v>2</v>
      </c>
      <c r="D338">
        <f>VLOOKUP(B338,PRODUCTS!A:E,4,FALSE)*C338</f>
        <v>1598</v>
      </c>
      <c r="E338">
        <f>(VLOOKUP(B338,PRODUCTS!A:E,4,FALSE) - VLOOKUP(B338,PRODUCTS!A:E,5,FALSE)) * C338</f>
        <v>698</v>
      </c>
    </row>
    <row r="339" spans="1:5" x14ac:dyDescent="0.35">
      <c r="A339">
        <v>53</v>
      </c>
      <c r="B339">
        <v>14</v>
      </c>
      <c r="C339">
        <v>2</v>
      </c>
      <c r="D339">
        <f>VLOOKUP(B339,PRODUCTS!A:E,4,FALSE)*C339</f>
        <v>1398</v>
      </c>
      <c r="E339">
        <f>(VLOOKUP(B339,PRODUCTS!A:E,4,FALSE) - VLOOKUP(B339,PRODUCTS!A:E,5,FALSE)) * C339</f>
        <v>698</v>
      </c>
    </row>
    <row r="340" spans="1:5" x14ac:dyDescent="0.35">
      <c r="A340">
        <v>13</v>
      </c>
      <c r="B340">
        <v>20</v>
      </c>
      <c r="C340">
        <v>4</v>
      </c>
      <c r="D340">
        <f>VLOOKUP(B340,PRODUCTS!A:E,4,FALSE)*C340</f>
        <v>5596</v>
      </c>
      <c r="E340">
        <f>(VLOOKUP(B340,PRODUCTS!A:E,4,FALSE) - VLOOKUP(B340,PRODUCTS!A:E,5,FALSE)) * C340</f>
        <v>2196</v>
      </c>
    </row>
    <row r="341" spans="1:5" x14ac:dyDescent="0.35">
      <c r="A341">
        <v>76</v>
      </c>
      <c r="B341">
        <v>2</v>
      </c>
      <c r="C341">
        <v>4</v>
      </c>
      <c r="D341">
        <f>VLOOKUP(B341,PRODUCTS!A:E,4,FALSE)*C341</f>
        <v>3996</v>
      </c>
      <c r="E341">
        <f>(VLOOKUP(B341,PRODUCTS!A:E,4,FALSE) - VLOOKUP(B341,PRODUCTS!A:E,5,FALSE)) * C341</f>
        <v>1596</v>
      </c>
    </row>
    <row r="342" spans="1:5" x14ac:dyDescent="0.35">
      <c r="A342">
        <v>123</v>
      </c>
      <c r="B342">
        <v>23</v>
      </c>
      <c r="C342">
        <v>2</v>
      </c>
      <c r="D342">
        <f>VLOOKUP(B342,PRODUCTS!A:E,4,FALSE)*C342</f>
        <v>1198</v>
      </c>
      <c r="E342">
        <f>(VLOOKUP(B342,PRODUCTS!A:E,4,FALSE) - VLOOKUP(B342,PRODUCTS!A:E,5,FALSE)) * C342</f>
        <v>598</v>
      </c>
    </row>
    <row r="343" spans="1:5" x14ac:dyDescent="0.35">
      <c r="A343">
        <v>200</v>
      </c>
      <c r="B343">
        <v>4</v>
      </c>
      <c r="C343">
        <v>2</v>
      </c>
      <c r="D343">
        <f>VLOOKUP(B343,PRODUCTS!A:E,4,FALSE)*C343</f>
        <v>2398</v>
      </c>
      <c r="E343">
        <f>(VLOOKUP(B343,PRODUCTS!A:E,4,FALSE) - VLOOKUP(B343,PRODUCTS!A:E,5,FALSE)) * C343</f>
        <v>998</v>
      </c>
    </row>
    <row r="344" spans="1:5" x14ac:dyDescent="0.35">
      <c r="A344">
        <v>146</v>
      </c>
      <c r="B344">
        <v>18</v>
      </c>
      <c r="C344">
        <v>3</v>
      </c>
      <c r="D344">
        <f>VLOOKUP(B344,PRODUCTS!A:E,4,FALSE)*C344</f>
        <v>2397</v>
      </c>
      <c r="E344">
        <f>(VLOOKUP(B344,PRODUCTS!A:E,4,FALSE) - VLOOKUP(B344,PRODUCTS!A:E,5,FALSE)) * C344</f>
        <v>1047</v>
      </c>
    </row>
    <row r="345" spans="1:5" x14ac:dyDescent="0.35">
      <c r="A345">
        <v>51</v>
      </c>
      <c r="B345">
        <v>8</v>
      </c>
      <c r="C345">
        <v>3</v>
      </c>
      <c r="D345">
        <f>VLOOKUP(B345,PRODUCTS!A:E,4,FALSE)*C345</f>
        <v>1797</v>
      </c>
      <c r="E345">
        <f>(VLOOKUP(B345,PRODUCTS!A:E,4,FALSE) - VLOOKUP(B345,PRODUCTS!A:E,5,FALSE)) * C345</f>
        <v>897</v>
      </c>
    </row>
    <row r="346" spans="1:5" x14ac:dyDescent="0.35">
      <c r="A346">
        <v>78</v>
      </c>
      <c r="B346">
        <v>19</v>
      </c>
      <c r="C346">
        <v>5</v>
      </c>
      <c r="D346">
        <f>VLOOKUP(B346,PRODUCTS!A:E,4,FALSE)*C346</f>
        <v>6495</v>
      </c>
      <c r="E346">
        <f>(VLOOKUP(B346,PRODUCTS!A:E,4,FALSE) - VLOOKUP(B346,PRODUCTS!A:E,5,FALSE)) * C346</f>
        <v>2495</v>
      </c>
    </row>
    <row r="347" spans="1:5" x14ac:dyDescent="0.35">
      <c r="A347">
        <v>174</v>
      </c>
      <c r="B347">
        <v>2</v>
      </c>
      <c r="C347">
        <v>3</v>
      </c>
      <c r="D347">
        <f>VLOOKUP(B347,PRODUCTS!A:E,4,FALSE)*C347</f>
        <v>2997</v>
      </c>
      <c r="E347">
        <f>(VLOOKUP(B347,PRODUCTS!A:E,4,FALSE) - VLOOKUP(B347,PRODUCTS!A:E,5,FALSE)) * C347</f>
        <v>1197</v>
      </c>
    </row>
    <row r="348" spans="1:5" x14ac:dyDescent="0.35">
      <c r="A348">
        <v>27</v>
      </c>
      <c r="B348">
        <v>10</v>
      </c>
      <c r="C348">
        <v>2</v>
      </c>
      <c r="D348">
        <f>VLOOKUP(B348,PRODUCTS!A:E,4,FALSE)*C348</f>
        <v>3198</v>
      </c>
      <c r="E348">
        <f>(VLOOKUP(B348,PRODUCTS!A:E,4,FALSE) - VLOOKUP(B348,PRODUCTS!A:E,5,FALSE)) * C348</f>
        <v>1298</v>
      </c>
    </row>
    <row r="349" spans="1:5" x14ac:dyDescent="0.35">
      <c r="A349">
        <v>22</v>
      </c>
      <c r="B349">
        <v>20</v>
      </c>
      <c r="C349">
        <v>4</v>
      </c>
      <c r="D349">
        <f>VLOOKUP(B349,PRODUCTS!A:E,4,FALSE)*C349</f>
        <v>5596</v>
      </c>
      <c r="E349">
        <f>(VLOOKUP(B349,PRODUCTS!A:E,4,FALSE) - VLOOKUP(B349,PRODUCTS!A:E,5,FALSE)) * C349</f>
        <v>2196</v>
      </c>
    </row>
    <row r="350" spans="1:5" x14ac:dyDescent="0.35">
      <c r="A350">
        <v>114</v>
      </c>
      <c r="B350">
        <v>8</v>
      </c>
      <c r="C350">
        <v>1</v>
      </c>
      <c r="D350">
        <f>VLOOKUP(B350,PRODUCTS!A:E,4,FALSE)*C350</f>
        <v>599</v>
      </c>
      <c r="E350">
        <f>(VLOOKUP(B350,PRODUCTS!A:E,4,FALSE) - VLOOKUP(B350,PRODUCTS!A:E,5,FALSE)) * C350</f>
        <v>299</v>
      </c>
    </row>
    <row r="351" spans="1:5" x14ac:dyDescent="0.35">
      <c r="A351">
        <v>15</v>
      </c>
      <c r="B351">
        <v>12</v>
      </c>
      <c r="C351">
        <v>1</v>
      </c>
      <c r="D351">
        <f>VLOOKUP(B351,PRODUCTS!A:E,4,FALSE)*C351</f>
        <v>1199</v>
      </c>
      <c r="E351">
        <f>(VLOOKUP(B351,PRODUCTS!A:E,4,FALSE) - VLOOKUP(B351,PRODUCTS!A:E,5,FALSE)) * C351</f>
        <v>499</v>
      </c>
    </row>
    <row r="352" spans="1:5" x14ac:dyDescent="0.35">
      <c r="A352">
        <v>127</v>
      </c>
      <c r="B352">
        <v>20</v>
      </c>
      <c r="C352">
        <v>5</v>
      </c>
      <c r="D352">
        <f>VLOOKUP(B352,PRODUCTS!A:E,4,FALSE)*C352</f>
        <v>6995</v>
      </c>
      <c r="E352">
        <f>(VLOOKUP(B352,PRODUCTS!A:E,4,FALSE) - VLOOKUP(B352,PRODUCTS!A:E,5,FALSE)) * C352</f>
        <v>2745</v>
      </c>
    </row>
    <row r="353" spans="1:5" x14ac:dyDescent="0.35">
      <c r="A353">
        <v>72</v>
      </c>
      <c r="B353">
        <v>5</v>
      </c>
      <c r="C353">
        <v>1</v>
      </c>
      <c r="D353">
        <f>VLOOKUP(B353,PRODUCTS!A:E,4,FALSE)*C353</f>
        <v>399</v>
      </c>
      <c r="E353">
        <f>(VLOOKUP(B353,PRODUCTS!A:E,4,FALSE) - VLOOKUP(B353,PRODUCTS!A:E,5,FALSE)) * C353</f>
        <v>199</v>
      </c>
    </row>
    <row r="354" spans="1:5" x14ac:dyDescent="0.35">
      <c r="A354">
        <v>80</v>
      </c>
      <c r="B354">
        <v>23</v>
      </c>
      <c r="C354">
        <v>2</v>
      </c>
      <c r="D354">
        <f>VLOOKUP(B354,PRODUCTS!A:E,4,FALSE)*C354</f>
        <v>1198</v>
      </c>
      <c r="E354">
        <f>(VLOOKUP(B354,PRODUCTS!A:E,4,FALSE) - VLOOKUP(B354,PRODUCTS!A:E,5,FALSE)) * C354</f>
        <v>598</v>
      </c>
    </row>
    <row r="355" spans="1:5" x14ac:dyDescent="0.35">
      <c r="A355">
        <v>115</v>
      </c>
      <c r="B355">
        <v>21</v>
      </c>
      <c r="C355">
        <v>2</v>
      </c>
      <c r="D355">
        <f>VLOOKUP(B355,PRODUCTS!A:E,4,FALSE)*C355</f>
        <v>598</v>
      </c>
      <c r="E355">
        <f>(VLOOKUP(B355,PRODUCTS!A:E,4,FALSE) - VLOOKUP(B355,PRODUCTS!A:E,5,FALSE)) * C355</f>
        <v>298</v>
      </c>
    </row>
    <row r="356" spans="1:5" x14ac:dyDescent="0.35">
      <c r="A356">
        <v>122</v>
      </c>
      <c r="B356">
        <v>24</v>
      </c>
      <c r="C356">
        <v>4</v>
      </c>
      <c r="D356">
        <f>VLOOKUP(B356,PRODUCTS!A:E,4,FALSE)*C356</f>
        <v>2796</v>
      </c>
      <c r="E356">
        <f>(VLOOKUP(B356,PRODUCTS!A:E,4,FALSE) - VLOOKUP(B356,PRODUCTS!A:E,5,FALSE)) * C356</f>
        <v>1396</v>
      </c>
    </row>
    <row r="357" spans="1:5" x14ac:dyDescent="0.35">
      <c r="A357">
        <v>184</v>
      </c>
      <c r="B357">
        <v>4</v>
      </c>
      <c r="C357">
        <v>2</v>
      </c>
      <c r="D357">
        <f>VLOOKUP(B357,PRODUCTS!A:E,4,FALSE)*C357</f>
        <v>2398</v>
      </c>
      <c r="E357">
        <f>(VLOOKUP(B357,PRODUCTS!A:E,4,FALSE) - VLOOKUP(B357,PRODUCTS!A:E,5,FALSE)) * C357</f>
        <v>998</v>
      </c>
    </row>
    <row r="358" spans="1:5" x14ac:dyDescent="0.35">
      <c r="A358">
        <v>50</v>
      </c>
      <c r="B358">
        <v>1</v>
      </c>
      <c r="C358">
        <v>1</v>
      </c>
      <c r="D358">
        <f>VLOOKUP(B358,PRODUCTS!A:E,4,FALSE)*C358</f>
        <v>499</v>
      </c>
      <c r="E358">
        <f>(VLOOKUP(B358,PRODUCTS!A:E,4,FALSE) - VLOOKUP(B358,PRODUCTS!A:E,5,FALSE)) * C358</f>
        <v>249</v>
      </c>
    </row>
    <row r="359" spans="1:5" x14ac:dyDescent="0.35">
      <c r="A359">
        <v>13</v>
      </c>
      <c r="B359">
        <v>1</v>
      </c>
      <c r="C359">
        <v>2</v>
      </c>
      <c r="D359">
        <f>VLOOKUP(B359,PRODUCTS!A:E,4,FALSE)*C359</f>
        <v>998</v>
      </c>
      <c r="E359">
        <f>(VLOOKUP(B359,PRODUCTS!A:E,4,FALSE) - VLOOKUP(B359,PRODUCTS!A:E,5,FALSE)) * C359</f>
        <v>498</v>
      </c>
    </row>
    <row r="360" spans="1:5" x14ac:dyDescent="0.35">
      <c r="A360">
        <v>89</v>
      </c>
      <c r="B360">
        <v>14</v>
      </c>
      <c r="C360">
        <v>2</v>
      </c>
      <c r="D360">
        <f>VLOOKUP(B360,PRODUCTS!A:E,4,FALSE)*C360</f>
        <v>1398</v>
      </c>
      <c r="E360">
        <f>(VLOOKUP(B360,PRODUCTS!A:E,4,FALSE) - VLOOKUP(B360,PRODUCTS!A:E,5,FALSE)) * C360</f>
        <v>698</v>
      </c>
    </row>
    <row r="361" spans="1:5" x14ac:dyDescent="0.35">
      <c r="A361">
        <v>28</v>
      </c>
      <c r="B361">
        <v>6</v>
      </c>
      <c r="C361">
        <v>3</v>
      </c>
      <c r="D361">
        <f>VLOOKUP(B361,PRODUCTS!A:E,4,FALSE)*C361</f>
        <v>2097</v>
      </c>
      <c r="E361">
        <f>(VLOOKUP(B361,PRODUCTS!A:E,4,FALSE) - VLOOKUP(B361,PRODUCTS!A:E,5,FALSE)) * C361</f>
        <v>1047</v>
      </c>
    </row>
    <row r="362" spans="1:5" x14ac:dyDescent="0.35">
      <c r="A362">
        <v>43</v>
      </c>
      <c r="B362">
        <v>18</v>
      </c>
      <c r="C362">
        <v>2</v>
      </c>
      <c r="D362">
        <f>VLOOKUP(B362,PRODUCTS!A:E,4,FALSE)*C362</f>
        <v>1598</v>
      </c>
      <c r="E362">
        <f>(VLOOKUP(B362,PRODUCTS!A:E,4,FALSE) - VLOOKUP(B362,PRODUCTS!A:E,5,FALSE)) * C362</f>
        <v>698</v>
      </c>
    </row>
    <row r="363" spans="1:5" x14ac:dyDescent="0.35">
      <c r="A363">
        <v>22</v>
      </c>
      <c r="B363">
        <v>7</v>
      </c>
      <c r="C363">
        <v>5</v>
      </c>
      <c r="D363">
        <f>VLOOKUP(B363,PRODUCTS!A:E,4,FALSE)*C363</f>
        <v>7495</v>
      </c>
      <c r="E363">
        <f>(VLOOKUP(B363,PRODUCTS!A:E,4,FALSE) - VLOOKUP(B363,PRODUCTS!A:E,5,FALSE)) * C363</f>
        <v>2995</v>
      </c>
    </row>
    <row r="364" spans="1:5" x14ac:dyDescent="0.35">
      <c r="A364">
        <v>152</v>
      </c>
      <c r="B364">
        <v>16</v>
      </c>
      <c r="C364">
        <v>5</v>
      </c>
      <c r="D364">
        <f>VLOOKUP(B364,PRODUCTS!A:E,4,FALSE)*C364</f>
        <v>2995</v>
      </c>
      <c r="E364">
        <f>(VLOOKUP(B364,PRODUCTS!A:E,4,FALSE) - VLOOKUP(B364,PRODUCTS!A:E,5,FALSE)) * C364</f>
        <v>1495</v>
      </c>
    </row>
    <row r="365" spans="1:5" x14ac:dyDescent="0.35">
      <c r="A365">
        <v>188</v>
      </c>
      <c r="B365">
        <v>21</v>
      </c>
      <c r="C365">
        <v>3</v>
      </c>
      <c r="D365">
        <f>VLOOKUP(B365,PRODUCTS!A:E,4,FALSE)*C365</f>
        <v>897</v>
      </c>
      <c r="E365">
        <f>(VLOOKUP(B365,PRODUCTS!A:E,4,FALSE) - VLOOKUP(B365,PRODUCTS!A:E,5,FALSE)) * C365</f>
        <v>447</v>
      </c>
    </row>
    <row r="366" spans="1:5" x14ac:dyDescent="0.35">
      <c r="A366">
        <v>200</v>
      </c>
      <c r="B366">
        <v>10</v>
      </c>
      <c r="C366">
        <v>4</v>
      </c>
      <c r="D366">
        <f>VLOOKUP(B366,PRODUCTS!A:E,4,FALSE)*C366</f>
        <v>6396</v>
      </c>
      <c r="E366">
        <f>(VLOOKUP(B366,PRODUCTS!A:E,4,FALSE) - VLOOKUP(B366,PRODUCTS!A:E,5,FALSE)) * C366</f>
        <v>2596</v>
      </c>
    </row>
    <row r="367" spans="1:5" x14ac:dyDescent="0.35">
      <c r="A367">
        <v>77</v>
      </c>
      <c r="B367">
        <v>1</v>
      </c>
      <c r="C367">
        <v>5</v>
      </c>
      <c r="D367">
        <f>VLOOKUP(B367,PRODUCTS!A:E,4,FALSE)*C367</f>
        <v>2495</v>
      </c>
      <c r="E367">
        <f>(VLOOKUP(B367,PRODUCTS!A:E,4,FALSE) - VLOOKUP(B367,PRODUCTS!A:E,5,FALSE)) * C367</f>
        <v>1245</v>
      </c>
    </row>
    <row r="368" spans="1:5" x14ac:dyDescent="0.35">
      <c r="A368">
        <v>34</v>
      </c>
      <c r="B368">
        <v>22</v>
      </c>
      <c r="C368">
        <v>3</v>
      </c>
      <c r="D368">
        <f>VLOOKUP(B368,PRODUCTS!A:E,4,FALSE)*C368</f>
        <v>1047</v>
      </c>
      <c r="E368">
        <f>(VLOOKUP(B368,PRODUCTS!A:E,4,FALSE) - VLOOKUP(B368,PRODUCTS!A:E,5,FALSE)) * C368</f>
        <v>507</v>
      </c>
    </row>
    <row r="369" spans="1:5" x14ac:dyDescent="0.35">
      <c r="A369">
        <v>49</v>
      </c>
      <c r="B369">
        <v>18</v>
      </c>
      <c r="C369">
        <v>2</v>
      </c>
      <c r="D369">
        <f>VLOOKUP(B369,PRODUCTS!A:E,4,FALSE)*C369</f>
        <v>1598</v>
      </c>
      <c r="E369">
        <f>(VLOOKUP(B369,PRODUCTS!A:E,4,FALSE) - VLOOKUP(B369,PRODUCTS!A:E,5,FALSE)) * C369</f>
        <v>698</v>
      </c>
    </row>
    <row r="370" spans="1:5" x14ac:dyDescent="0.35">
      <c r="A370">
        <v>28</v>
      </c>
      <c r="B370">
        <v>21</v>
      </c>
      <c r="C370">
        <v>2</v>
      </c>
      <c r="D370">
        <f>VLOOKUP(B370,PRODUCTS!A:E,4,FALSE)*C370</f>
        <v>598</v>
      </c>
      <c r="E370">
        <f>(VLOOKUP(B370,PRODUCTS!A:E,4,FALSE) - VLOOKUP(B370,PRODUCTS!A:E,5,FALSE)) * C370</f>
        <v>298</v>
      </c>
    </row>
    <row r="371" spans="1:5" x14ac:dyDescent="0.35">
      <c r="A371">
        <v>195</v>
      </c>
      <c r="B371">
        <v>24</v>
      </c>
      <c r="C371">
        <v>4</v>
      </c>
      <c r="D371">
        <f>VLOOKUP(B371,PRODUCTS!A:E,4,FALSE)*C371</f>
        <v>2796</v>
      </c>
      <c r="E371">
        <f>(VLOOKUP(B371,PRODUCTS!A:E,4,FALSE) - VLOOKUP(B371,PRODUCTS!A:E,5,FALSE)) * C371</f>
        <v>1396</v>
      </c>
    </row>
    <row r="372" spans="1:5" x14ac:dyDescent="0.35">
      <c r="A372">
        <v>106</v>
      </c>
      <c r="B372">
        <v>4</v>
      </c>
      <c r="C372">
        <v>4</v>
      </c>
      <c r="D372">
        <f>VLOOKUP(B372,PRODUCTS!A:E,4,FALSE)*C372</f>
        <v>4796</v>
      </c>
      <c r="E372">
        <f>(VLOOKUP(B372,PRODUCTS!A:E,4,FALSE) - VLOOKUP(B372,PRODUCTS!A:E,5,FALSE)) * C372</f>
        <v>1996</v>
      </c>
    </row>
    <row r="373" spans="1:5" x14ac:dyDescent="0.35">
      <c r="A373">
        <v>80</v>
      </c>
      <c r="B373">
        <v>16</v>
      </c>
      <c r="C373">
        <v>5</v>
      </c>
      <c r="D373">
        <f>VLOOKUP(B373,PRODUCTS!A:E,4,FALSE)*C373</f>
        <v>2995</v>
      </c>
      <c r="E373">
        <f>(VLOOKUP(B373,PRODUCTS!A:E,4,FALSE) - VLOOKUP(B373,PRODUCTS!A:E,5,FALSE)) * C373</f>
        <v>1495</v>
      </c>
    </row>
    <row r="374" spans="1:5" x14ac:dyDescent="0.35">
      <c r="A374">
        <v>96</v>
      </c>
      <c r="B374">
        <v>24</v>
      </c>
      <c r="C374">
        <v>2</v>
      </c>
      <c r="D374">
        <f>VLOOKUP(B374,PRODUCTS!A:E,4,FALSE)*C374</f>
        <v>1398</v>
      </c>
      <c r="E374">
        <f>(VLOOKUP(B374,PRODUCTS!A:E,4,FALSE) - VLOOKUP(B374,PRODUCTS!A:E,5,FALSE)) * C374</f>
        <v>698</v>
      </c>
    </row>
    <row r="375" spans="1:5" x14ac:dyDescent="0.35">
      <c r="A375">
        <v>83</v>
      </c>
      <c r="B375">
        <v>20</v>
      </c>
      <c r="C375">
        <v>1</v>
      </c>
      <c r="D375">
        <f>VLOOKUP(B375,PRODUCTS!A:E,4,FALSE)*C375</f>
        <v>1399</v>
      </c>
      <c r="E375">
        <f>(VLOOKUP(B375,PRODUCTS!A:E,4,FALSE) - VLOOKUP(B375,PRODUCTS!A:E,5,FALSE)) * C375</f>
        <v>549</v>
      </c>
    </row>
    <row r="376" spans="1:5" x14ac:dyDescent="0.35">
      <c r="A376">
        <v>23</v>
      </c>
      <c r="B376">
        <v>21</v>
      </c>
      <c r="C376">
        <v>2</v>
      </c>
      <c r="D376">
        <f>VLOOKUP(B376,PRODUCTS!A:E,4,FALSE)*C376</f>
        <v>598</v>
      </c>
      <c r="E376">
        <f>(VLOOKUP(B376,PRODUCTS!A:E,4,FALSE) - VLOOKUP(B376,PRODUCTS!A:E,5,FALSE)) * C376</f>
        <v>298</v>
      </c>
    </row>
    <row r="377" spans="1:5" x14ac:dyDescent="0.35">
      <c r="A377">
        <v>83</v>
      </c>
      <c r="B377">
        <v>16</v>
      </c>
      <c r="C377">
        <v>1</v>
      </c>
      <c r="D377">
        <f>VLOOKUP(B377,PRODUCTS!A:E,4,FALSE)*C377</f>
        <v>599</v>
      </c>
      <c r="E377">
        <f>(VLOOKUP(B377,PRODUCTS!A:E,4,FALSE) - VLOOKUP(B377,PRODUCTS!A:E,5,FALSE)) * C377</f>
        <v>299</v>
      </c>
    </row>
    <row r="378" spans="1:5" x14ac:dyDescent="0.35">
      <c r="A378">
        <v>188</v>
      </c>
      <c r="B378">
        <v>2</v>
      </c>
      <c r="C378">
        <v>5</v>
      </c>
      <c r="D378">
        <f>VLOOKUP(B378,PRODUCTS!A:E,4,FALSE)*C378</f>
        <v>4995</v>
      </c>
      <c r="E378">
        <f>(VLOOKUP(B378,PRODUCTS!A:E,4,FALSE) - VLOOKUP(B378,PRODUCTS!A:E,5,FALSE)) * C378</f>
        <v>1995</v>
      </c>
    </row>
    <row r="379" spans="1:5" x14ac:dyDescent="0.35">
      <c r="A379">
        <v>35</v>
      </c>
      <c r="B379">
        <v>16</v>
      </c>
      <c r="C379">
        <v>1</v>
      </c>
      <c r="D379">
        <f>VLOOKUP(B379,PRODUCTS!A:E,4,FALSE)*C379</f>
        <v>599</v>
      </c>
      <c r="E379">
        <f>(VLOOKUP(B379,PRODUCTS!A:E,4,FALSE) - VLOOKUP(B379,PRODUCTS!A:E,5,FALSE)) * C379</f>
        <v>299</v>
      </c>
    </row>
    <row r="380" spans="1:5" x14ac:dyDescent="0.35">
      <c r="A380">
        <v>37</v>
      </c>
      <c r="B380">
        <v>2</v>
      </c>
      <c r="C380">
        <v>5</v>
      </c>
      <c r="D380">
        <f>VLOOKUP(B380,PRODUCTS!A:E,4,FALSE)*C380</f>
        <v>4995</v>
      </c>
      <c r="E380">
        <f>(VLOOKUP(B380,PRODUCTS!A:E,4,FALSE) - VLOOKUP(B380,PRODUCTS!A:E,5,FALSE)) * C380</f>
        <v>1995</v>
      </c>
    </row>
    <row r="381" spans="1:5" x14ac:dyDescent="0.35">
      <c r="A381">
        <v>133</v>
      </c>
      <c r="B381">
        <v>7</v>
      </c>
      <c r="C381">
        <v>3</v>
      </c>
      <c r="D381">
        <f>VLOOKUP(B381,PRODUCTS!A:E,4,FALSE)*C381</f>
        <v>4497</v>
      </c>
      <c r="E381">
        <f>(VLOOKUP(B381,PRODUCTS!A:E,4,FALSE) - VLOOKUP(B381,PRODUCTS!A:E,5,FALSE)) * C381</f>
        <v>1797</v>
      </c>
    </row>
    <row r="382" spans="1:5" x14ac:dyDescent="0.35">
      <c r="A382">
        <v>2</v>
      </c>
      <c r="B382">
        <v>10</v>
      </c>
      <c r="C382">
        <v>1</v>
      </c>
      <c r="D382">
        <f>VLOOKUP(B382,PRODUCTS!A:E,4,FALSE)*C382</f>
        <v>1599</v>
      </c>
      <c r="E382">
        <f>(VLOOKUP(B382,PRODUCTS!A:E,4,FALSE) - VLOOKUP(B382,PRODUCTS!A:E,5,FALSE)) * C382</f>
        <v>649</v>
      </c>
    </row>
    <row r="383" spans="1:5" x14ac:dyDescent="0.35">
      <c r="A383">
        <v>144</v>
      </c>
      <c r="B383">
        <v>14</v>
      </c>
      <c r="C383">
        <v>1</v>
      </c>
      <c r="D383">
        <f>VLOOKUP(B383,PRODUCTS!A:E,4,FALSE)*C383</f>
        <v>699</v>
      </c>
      <c r="E383">
        <f>(VLOOKUP(B383,PRODUCTS!A:E,4,FALSE) - VLOOKUP(B383,PRODUCTS!A:E,5,FALSE)) * C383</f>
        <v>349</v>
      </c>
    </row>
    <row r="384" spans="1:5" x14ac:dyDescent="0.35">
      <c r="A384">
        <v>95</v>
      </c>
      <c r="B384">
        <v>1</v>
      </c>
      <c r="C384">
        <v>4</v>
      </c>
      <c r="D384">
        <f>VLOOKUP(B384,PRODUCTS!A:E,4,FALSE)*C384</f>
        <v>1996</v>
      </c>
      <c r="E384">
        <f>(VLOOKUP(B384,PRODUCTS!A:E,4,FALSE) - VLOOKUP(B384,PRODUCTS!A:E,5,FALSE)) * C384</f>
        <v>996</v>
      </c>
    </row>
    <row r="385" spans="1:5" x14ac:dyDescent="0.35">
      <c r="A385">
        <v>102</v>
      </c>
      <c r="B385">
        <v>8</v>
      </c>
      <c r="C385">
        <v>4</v>
      </c>
      <c r="D385">
        <f>VLOOKUP(B385,PRODUCTS!A:E,4,FALSE)*C385</f>
        <v>2396</v>
      </c>
      <c r="E385">
        <f>(VLOOKUP(B385,PRODUCTS!A:E,4,FALSE) - VLOOKUP(B385,PRODUCTS!A:E,5,FALSE)) * C385</f>
        <v>1196</v>
      </c>
    </row>
    <row r="386" spans="1:5" x14ac:dyDescent="0.35">
      <c r="A386">
        <v>168</v>
      </c>
      <c r="B386">
        <v>13</v>
      </c>
      <c r="C386">
        <v>1</v>
      </c>
      <c r="D386">
        <f>VLOOKUP(B386,PRODUCTS!A:E,4,FALSE)*C386</f>
        <v>499</v>
      </c>
      <c r="E386">
        <f>(VLOOKUP(B386,PRODUCTS!A:E,4,FALSE) - VLOOKUP(B386,PRODUCTS!A:E,5,FALSE)) * C386</f>
        <v>249</v>
      </c>
    </row>
    <row r="387" spans="1:5" x14ac:dyDescent="0.35">
      <c r="A387">
        <v>197</v>
      </c>
      <c r="B387">
        <v>24</v>
      </c>
      <c r="C387">
        <v>2</v>
      </c>
      <c r="D387">
        <f>VLOOKUP(B387,PRODUCTS!A:E,4,FALSE)*C387</f>
        <v>1398</v>
      </c>
      <c r="E387">
        <f>(VLOOKUP(B387,PRODUCTS!A:E,4,FALSE) - VLOOKUP(B387,PRODUCTS!A:E,5,FALSE)) * C387</f>
        <v>698</v>
      </c>
    </row>
    <row r="388" spans="1:5" x14ac:dyDescent="0.35">
      <c r="A388">
        <v>139</v>
      </c>
      <c r="B388">
        <v>20</v>
      </c>
      <c r="C388">
        <v>4</v>
      </c>
      <c r="D388">
        <f>VLOOKUP(B388,PRODUCTS!A:E,4,FALSE)*C388</f>
        <v>5596</v>
      </c>
      <c r="E388">
        <f>(VLOOKUP(B388,PRODUCTS!A:E,4,FALSE) - VLOOKUP(B388,PRODUCTS!A:E,5,FALSE)) * C388</f>
        <v>2196</v>
      </c>
    </row>
    <row r="389" spans="1:5" x14ac:dyDescent="0.35">
      <c r="A389">
        <v>75</v>
      </c>
      <c r="B389">
        <v>23</v>
      </c>
      <c r="C389">
        <v>1</v>
      </c>
      <c r="D389">
        <f>VLOOKUP(B389,PRODUCTS!A:E,4,FALSE)*C389</f>
        <v>599</v>
      </c>
      <c r="E389">
        <f>(VLOOKUP(B389,PRODUCTS!A:E,4,FALSE) - VLOOKUP(B389,PRODUCTS!A:E,5,FALSE)) * C389</f>
        <v>299</v>
      </c>
    </row>
    <row r="390" spans="1:5" x14ac:dyDescent="0.35">
      <c r="A390">
        <v>127</v>
      </c>
      <c r="B390">
        <v>20</v>
      </c>
      <c r="C390">
        <v>1</v>
      </c>
      <c r="D390">
        <f>VLOOKUP(B390,PRODUCTS!A:E,4,FALSE)*C390</f>
        <v>1399</v>
      </c>
      <c r="E390">
        <f>(VLOOKUP(B390,PRODUCTS!A:E,4,FALSE) - VLOOKUP(B390,PRODUCTS!A:E,5,FALSE)) * C390</f>
        <v>549</v>
      </c>
    </row>
    <row r="391" spans="1:5" x14ac:dyDescent="0.35">
      <c r="A391">
        <v>100</v>
      </c>
      <c r="B391">
        <v>20</v>
      </c>
      <c r="C391">
        <v>5</v>
      </c>
      <c r="D391">
        <f>VLOOKUP(B391,PRODUCTS!A:E,4,FALSE)*C391</f>
        <v>6995</v>
      </c>
      <c r="E391">
        <f>(VLOOKUP(B391,PRODUCTS!A:E,4,FALSE) - VLOOKUP(B391,PRODUCTS!A:E,5,FALSE)) * C391</f>
        <v>2745</v>
      </c>
    </row>
    <row r="392" spans="1:5" x14ac:dyDescent="0.35">
      <c r="A392">
        <v>87</v>
      </c>
      <c r="B392">
        <v>14</v>
      </c>
      <c r="C392">
        <v>5</v>
      </c>
      <c r="D392">
        <f>VLOOKUP(B392,PRODUCTS!A:E,4,FALSE)*C392</f>
        <v>3495</v>
      </c>
      <c r="E392">
        <f>(VLOOKUP(B392,PRODUCTS!A:E,4,FALSE) - VLOOKUP(B392,PRODUCTS!A:E,5,FALSE)) * C392</f>
        <v>1745</v>
      </c>
    </row>
    <row r="393" spans="1:5" x14ac:dyDescent="0.35">
      <c r="A393">
        <v>86</v>
      </c>
      <c r="B393">
        <v>6</v>
      </c>
      <c r="C393">
        <v>5</v>
      </c>
      <c r="D393">
        <f>VLOOKUP(B393,PRODUCTS!A:E,4,FALSE)*C393</f>
        <v>3495</v>
      </c>
      <c r="E393">
        <f>(VLOOKUP(B393,PRODUCTS!A:E,4,FALSE) - VLOOKUP(B393,PRODUCTS!A:E,5,FALSE)) * C393</f>
        <v>1745</v>
      </c>
    </row>
    <row r="394" spans="1:5" x14ac:dyDescent="0.35">
      <c r="A394">
        <v>102</v>
      </c>
      <c r="B394">
        <v>21</v>
      </c>
      <c r="C394">
        <v>4</v>
      </c>
      <c r="D394">
        <f>VLOOKUP(B394,PRODUCTS!A:E,4,FALSE)*C394</f>
        <v>1196</v>
      </c>
      <c r="E394">
        <f>(VLOOKUP(B394,PRODUCTS!A:E,4,FALSE) - VLOOKUP(B394,PRODUCTS!A:E,5,FALSE)) * C394</f>
        <v>596</v>
      </c>
    </row>
    <row r="395" spans="1:5" x14ac:dyDescent="0.35">
      <c r="A395">
        <v>80</v>
      </c>
      <c r="B395">
        <v>9</v>
      </c>
      <c r="C395">
        <v>5</v>
      </c>
      <c r="D395">
        <f>VLOOKUP(B395,PRODUCTS!A:E,4,FALSE)*C395</f>
        <v>4495</v>
      </c>
      <c r="E395">
        <f>(VLOOKUP(B395,PRODUCTS!A:E,4,FALSE) - VLOOKUP(B395,PRODUCTS!A:E,5,FALSE)) * C395</f>
        <v>1995</v>
      </c>
    </row>
    <row r="396" spans="1:5" x14ac:dyDescent="0.35">
      <c r="A396">
        <v>2</v>
      </c>
      <c r="B396">
        <v>18</v>
      </c>
      <c r="C396">
        <v>2</v>
      </c>
      <c r="D396">
        <f>VLOOKUP(B396,PRODUCTS!A:E,4,FALSE)*C396</f>
        <v>1598</v>
      </c>
      <c r="E396">
        <f>(VLOOKUP(B396,PRODUCTS!A:E,4,FALSE) - VLOOKUP(B396,PRODUCTS!A:E,5,FALSE)) * C396</f>
        <v>698</v>
      </c>
    </row>
    <row r="397" spans="1:5" x14ac:dyDescent="0.35">
      <c r="A397">
        <v>129</v>
      </c>
      <c r="B397">
        <v>6</v>
      </c>
      <c r="C397">
        <v>4</v>
      </c>
      <c r="D397">
        <f>VLOOKUP(B397,PRODUCTS!A:E,4,FALSE)*C397</f>
        <v>2796</v>
      </c>
      <c r="E397">
        <f>(VLOOKUP(B397,PRODUCTS!A:E,4,FALSE) - VLOOKUP(B397,PRODUCTS!A:E,5,FALSE)) * C397</f>
        <v>1396</v>
      </c>
    </row>
    <row r="398" spans="1:5" x14ac:dyDescent="0.35">
      <c r="A398">
        <v>196</v>
      </c>
      <c r="B398">
        <v>19</v>
      </c>
      <c r="C398">
        <v>3</v>
      </c>
      <c r="D398">
        <f>VLOOKUP(B398,PRODUCTS!A:E,4,FALSE)*C398</f>
        <v>3897</v>
      </c>
      <c r="E398">
        <f>(VLOOKUP(B398,PRODUCTS!A:E,4,FALSE) - VLOOKUP(B398,PRODUCTS!A:E,5,FALSE)) * C398</f>
        <v>1497</v>
      </c>
    </row>
    <row r="399" spans="1:5" x14ac:dyDescent="0.35">
      <c r="A399">
        <v>85</v>
      </c>
      <c r="B399">
        <v>23</v>
      </c>
      <c r="C399">
        <v>3</v>
      </c>
      <c r="D399">
        <f>VLOOKUP(B399,PRODUCTS!A:E,4,FALSE)*C399</f>
        <v>1797</v>
      </c>
      <c r="E399">
        <f>(VLOOKUP(B399,PRODUCTS!A:E,4,FALSE) - VLOOKUP(B399,PRODUCTS!A:E,5,FALSE)) * C399</f>
        <v>897</v>
      </c>
    </row>
    <row r="400" spans="1:5" x14ac:dyDescent="0.35">
      <c r="A400">
        <v>98</v>
      </c>
      <c r="B400">
        <v>16</v>
      </c>
      <c r="C400">
        <v>2</v>
      </c>
      <c r="D400">
        <f>VLOOKUP(B400,PRODUCTS!A:E,4,FALSE)*C400</f>
        <v>1198</v>
      </c>
      <c r="E400">
        <f>(VLOOKUP(B400,PRODUCTS!A:E,4,FALSE) - VLOOKUP(B400,PRODUCTS!A:E,5,FALSE)) * C400</f>
        <v>598</v>
      </c>
    </row>
    <row r="401" spans="1:5" x14ac:dyDescent="0.35">
      <c r="A401">
        <v>2</v>
      </c>
      <c r="B401">
        <v>6</v>
      </c>
      <c r="C401">
        <v>3</v>
      </c>
      <c r="D401">
        <f>VLOOKUP(B401,PRODUCTS!A:E,4,FALSE)*C401</f>
        <v>2097</v>
      </c>
      <c r="E401">
        <f>(VLOOKUP(B401,PRODUCTS!A:E,4,FALSE) - VLOOKUP(B401,PRODUCTS!A:E,5,FALSE)) * C401</f>
        <v>1047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5043-109D-42E8-A5C8-DA55EE9AF290}">
  <dimension ref="A1:C13"/>
  <sheetViews>
    <sheetView tabSelected="1" workbookViewId="0">
      <selection activeCell="C14" sqref="C14"/>
    </sheetView>
  </sheetViews>
  <sheetFormatPr defaultRowHeight="14.5" x14ac:dyDescent="0.35"/>
  <cols>
    <col min="2" max="2" width="11.36328125" customWidth="1"/>
    <col min="3" max="3" width="10" customWidth="1"/>
  </cols>
  <sheetData>
    <row r="1" spans="1:3" x14ac:dyDescent="0.35">
      <c r="A1" t="s">
        <v>8</v>
      </c>
      <c r="B1" t="s">
        <v>66</v>
      </c>
      <c r="C1" t="s">
        <v>67</v>
      </c>
    </row>
    <row r="2" spans="1:3" x14ac:dyDescent="0.35">
      <c r="A2">
        <v>1</v>
      </c>
      <c r="B2" t="s">
        <v>68</v>
      </c>
      <c r="C2" t="s">
        <v>78</v>
      </c>
    </row>
    <row r="3" spans="1:3" x14ac:dyDescent="0.35">
      <c r="A3">
        <v>2</v>
      </c>
      <c r="B3" t="s">
        <v>69</v>
      </c>
      <c r="C3" t="s">
        <v>79</v>
      </c>
    </row>
    <row r="4" spans="1:3" x14ac:dyDescent="0.35">
      <c r="A4">
        <v>3</v>
      </c>
      <c r="B4" t="s">
        <v>70</v>
      </c>
      <c r="C4" t="s">
        <v>78</v>
      </c>
    </row>
    <row r="5" spans="1:3" x14ac:dyDescent="0.35">
      <c r="A5">
        <v>4</v>
      </c>
      <c r="B5" t="s">
        <v>71</v>
      </c>
      <c r="C5" t="s">
        <v>80</v>
      </c>
    </row>
    <row r="6" spans="1:3" x14ac:dyDescent="0.35">
      <c r="A6">
        <v>5</v>
      </c>
      <c r="B6" t="s">
        <v>72</v>
      </c>
      <c r="C6" t="s">
        <v>80</v>
      </c>
    </row>
    <row r="7" spans="1:3" x14ac:dyDescent="0.35">
      <c r="A7">
        <v>6</v>
      </c>
      <c r="B7" t="s">
        <v>73</v>
      </c>
      <c r="C7" t="s">
        <v>81</v>
      </c>
    </row>
    <row r="8" spans="1:3" x14ac:dyDescent="0.35">
      <c r="A8">
        <v>7</v>
      </c>
      <c r="B8" t="s">
        <v>74</v>
      </c>
      <c r="C8" t="s">
        <v>80</v>
      </c>
    </row>
    <row r="9" spans="1:3" x14ac:dyDescent="0.35">
      <c r="A9">
        <v>8</v>
      </c>
      <c r="B9" t="s">
        <v>75</v>
      </c>
      <c r="C9" t="s">
        <v>79</v>
      </c>
    </row>
    <row r="10" spans="1:3" x14ac:dyDescent="0.35">
      <c r="A10">
        <v>9</v>
      </c>
      <c r="B10" t="s">
        <v>76</v>
      </c>
      <c r="C10" t="s">
        <v>79</v>
      </c>
    </row>
    <row r="11" spans="1:3" x14ac:dyDescent="0.35">
      <c r="A11">
        <v>10</v>
      </c>
      <c r="B11" t="s">
        <v>77</v>
      </c>
      <c r="C11" t="s">
        <v>78</v>
      </c>
    </row>
    <row r="12" spans="1:3" x14ac:dyDescent="0.35">
      <c r="A12">
        <v>11</v>
      </c>
      <c r="B12" t="s">
        <v>99</v>
      </c>
      <c r="C12" t="s">
        <v>78</v>
      </c>
    </row>
    <row r="13" spans="1:3" x14ac:dyDescent="0.35">
      <c r="A13">
        <v>12</v>
      </c>
      <c r="B13" t="s">
        <v>100</v>
      </c>
      <c r="C13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9E1A-C5CC-47E3-B807-2B02E0109FEC}">
  <dimension ref="A1:R401"/>
  <sheetViews>
    <sheetView workbookViewId="0">
      <selection activeCell="F10" sqref="F10"/>
    </sheetView>
  </sheetViews>
  <sheetFormatPr defaultRowHeight="14.5" x14ac:dyDescent="0.35"/>
  <cols>
    <col min="1" max="1" width="10.90625" customWidth="1"/>
    <col min="2" max="2" width="9.26953125" customWidth="1"/>
    <col min="3" max="3" width="10.6328125" customWidth="1"/>
    <col min="4" max="4" width="7.90625" customWidth="1"/>
    <col min="5" max="5" width="10.6328125" customWidth="1"/>
    <col min="6" max="6" width="7.54296875" customWidth="1"/>
    <col min="7" max="7" width="10.7265625" customWidth="1"/>
    <col min="8" max="8" width="10.1796875" customWidth="1"/>
    <col min="9" max="9" width="15" customWidth="1"/>
    <col min="10" max="10" width="10" customWidth="1"/>
    <col min="13" max="13" width="8.1796875" customWidth="1"/>
    <col min="14" max="14" width="9.90625" customWidth="1"/>
    <col min="15" max="15" width="7.54296875" customWidth="1"/>
    <col min="17" max="17" width="12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7</v>
      </c>
      <c r="E1" t="s">
        <v>0</v>
      </c>
      <c r="F1" t="s">
        <v>8</v>
      </c>
      <c r="G1" t="s">
        <v>9</v>
      </c>
      <c r="H1" t="s">
        <v>12</v>
      </c>
      <c r="I1" t="s">
        <v>4</v>
      </c>
      <c r="J1" t="s">
        <v>13</v>
      </c>
      <c r="K1" t="s">
        <v>14</v>
      </c>
      <c r="L1" t="s">
        <v>11</v>
      </c>
      <c r="M1" t="s">
        <v>7</v>
      </c>
      <c r="N1" t="s">
        <v>3</v>
      </c>
      <c r="O1" t="s">
        <v>10</v>
      </c>
      <c r="P1" t="s">
        <v>8</v>
      </c>
      <c r="Q1" t="s">
        <v>66</v>
      </c>
      <c r="R1" t="s">
        <v>67</v>
      </c>
    </row>
    <row r="2" spans="1:18" x14ac:dyDescent="0.35">
      <c r="A2">
        <v>1</v>
      </c>
      <c r="B2" t="str">
        <f ca="1">IF(RANDBETWEEN(0,1)=0,"Male","Female")</f>
        <v>Male</v>
      </c>
      <c r="C2" t="str">
        <f ca="1">CHOOSE(RANDBETWEEN(1,4),"18-25","26-35","36-45","46+")</f>
        <v>36-45</v>
      </c>
      <c r="D2">
        <v>1</v>
      </c>
      <c r="E2">
        <v>27</v>
      </c>
      <c r="F2">
        <v>2</v>
      </c>
      <c r="G2" s="1">
        <v>45743</v>
      </c>
      <c r="H2">
        <v>1</v>
      </c>
      <c r="I2" t="s">
        <v>5</v>
      </c>
      <c r="J2" t="s">
        <v>63</v>
      </c>
      <c r="K2">
        <v>499</v>
      </c>
      <c r="L2">
        <v>250</v>
      </c>
      <c r="M2">
        <v>28</v>
      </c>
      <c r="N2">
        <v>23</v>
      </c>
      <c r="O2">
        <v>4</v>
      </c>
      <c r="P2">
        <v>1</v>
      </c>
      <c r="Q2" t="s">
        <v>68</v>
      </c>
      <c r="R2" t="s">
        <v>78</v>
      </c>
    </row>
    <row r="3" spans="1:18" x14ac:dyDescent="0.35">
      <c r="A3">
        <v>2</v>
      </c>
      <c r="B3" t="str">
        <f t="shared" ref="B3:B66" ca="1" si="0">IF(RANDBETWEEN(0,1)=0,"Male","Female")</f>
        <v>Female</v>
      </c>
      <c r="C3" t="str">
        <f t="shared" ref="C3:C66" ca="1" si="1">CHOOSE(RANDBETWEEN(1,4),"18-25","26-35","36-45","46+")</f>
        <v>18-25</v>
      </c>
      <c r="D3">
        <v>2</v>
      </c>
      <c r="E3">
        <v>40</v>
      </c>
      <c r="F3">
        <v>1</v>
      </c>
      <c r="G3" s="1">
        <v>45835</v>
      </c>
      <c r="H3">
        <v>2</v>
      </c>
      <c r="I3" t="s">
        <v>15</v>
      </c>
      <c r="J3" t="s">
        <v>63</v>
      </c>
      <c r="K3">
        <v>999</v>
      </c>
      <c r="L3">
        <v>600</v>
      </c>
      <c r="M3">
        <v>37</v>
      </c>
      <c r="N3">
        <v>2</v>
      </c>
      <c r="O3">
        <v>2</v>
      </c>
      <c r="P3">
        <v>2</v>
      </c>
      <c r="Q3" t="s">
        <v>69</v>
      </c>
      <c r="R3" t="s">
        <v>79</v>
      </c>
    </row>
    <row r="4" spans="1:18" x14ac:dyDescent="0.35">
      <c r="A4">
        <v>3</v>
      </c>
      <c r="B4" t="str">
        <f t="shared" ca="1" si="0"/>
        <v>Female</v>
      </c>
      <c r="C4" t="str">
        <f t="shared" ca="1" si="1"/>
        <v>18-25</v>
      </c>
      <c r="D4">
        <v>3</v>
      </c>
      <c r="E4">
        <v>57</v>
      </c>
      <c r="F4">
        <v>1</v>
      </c>
      <c r="G4" s="1">
        <v>45957</v>
      </c>
      <c r="H4">
        <v>3</v>
      </c>
      <c r="I4" t="s">
        <v>6</v>
      </c>
      <c r="J4" t="s">
        <v>63</v>
      </c>
      <c r="K4">
        <v>799</v>
      </c>
      <c r="L4">
        <v>450</v>
      </c>
      <c r="M4">
        <v>154</v>
      </c>
      <c r="N4">
        <v>9</v>
      </c>
      <c r="O4">
        <v>2</v>
      </c>
      <c r="P4">
        <v>3</v>
      </c>
      <c r="Q4" t="s">
        <v>70</v>
      </c>
      <c r="R4" t="s">
        <v>78</v>
      </c>
    </row>
    <row r="5" spans="1:18" x14ac:dyDescent="0.35">
      <c r="A5">
        <v>4</v>
      </c>
      <c r="B5" t="str">
        <f t="shared" ca="1" si="0"/>
        <v>Male</v>
      </c>
      <c r="C5" t="str">
        <f t="shared" ca="1" si="1"/>
        <v>26-35</v>
      </c>
      <c r="D5">
        <v>4</v>
      </c>
      <c r="E5">
        <v>48</v>
      </c>
      <c r="F5">
        <v>3</v>
      </c>
      <c r="G5" s="1">
        <v>45731</v>
      </c>
      <c r="H5">
        <v>4</v>
      </c>
      <c r="I5" t="s">
        <v>16</v>
      </c>
      <c r="J5" t="s">
        <v>63</v>
      </c>
      <c r="K5">
        <v>1199</v>
      </c>
      <c r="L5">
        <v>700</v>
      </c>
      <c r="M5">
        <v>179</v>
      </c>
      <c r="N5">
        <v>21</v>
      </c>
      <c r="O5">
        <v>1</v>
      </c>
      <c r="P5">
        <v>4</v>
      </c>
      <c r="Q5" t="s">
        <v>71</v>
      </c>
      <c r="R5" t="s">
        <v>80</v>
      </c>
    </row>
    <row r="6" spans="1:18" x14ac:dyDescent="0.35">
      <c r="A6">
        <v>5</v>
      </c>
      <c r="B6" t="str">
        <f t="shared" ca="1" si="0"/>
        <v>Female</v>
      </c>
      <c r="C6" t="str">
        <f t="shared" ca="1" si="1"/>
        <v>36-45</v>
      </c>
      <c r="D6">
        <v>5</v>
      </c>
      <c r="E6">
        <v>67</v>
      </c>
      <c r="F6">
        <v>4</v>
      </c>
      <c r="G6" s="1">
        <v>45934</v>
      </c>
      <c r="H6">
        <v>5</v>
      </c>
      <c r="I6" t="s">
        <v>17</v>
      </c>
      <c r="J6" t="s">
        <v>63</v>
      </c>
      <c r="K6">
        <v>399</v>
      </c>
      <c r="L6">
        <v>200</v>
      </c>
      <c r="M6">
        <v>4</v>
      </c>
      <c r="N6">
        <v>23</v>
      </c>
      <c r="O6">
        <v>3</v>
      </c>
      <c r="P6">
        <v>5</v>
      </c>
      <c r="Q6" t="s">
        <v>72</v>
      </c>
      <c r="R6" t="s">
        <v>80</v>
      </c>
    </row>
    <row r="7" spans="1:18" x14ac:dyDescent="0.35">
      <c r="A7">
        <v>6</v>
      </c>
      <c r="B7" t="str">
        <f t="shared" ca="1" si="0"/>
        <v>Male</v>
      </c>
      <c r="C7" t="str">
        <f t="shared" ca="1" si="1"/>
        <v>18-25</v>
      </c>
      <c r="D7">
        <v>6</v>
      </c>
      <c r="E7">
        <v>88</v>
      </c>
      <c r="F7">
        <v>4</v>
      </c>
      <c r="G7" s="1">
        <v>45981</v>
      </c>
      <c r="H7">
        <v>6</v>
      </c>
      <c r="I7" t="s">
        <v>18</v>
      </c>
      <c r="J7" t="s">
        <v>63</v>
      </c>
      <c r="K7">
        <v>699</v>
      </c>
      <c r="L7">
        <v>350</v>
      </c>
      <c r="M7">
        <v>105</v>
      </c>
      <c r="N7">
        <v>8</v>
      </c>
      <c r="O7">
        <v>3</v>
      </c>
      <c r="P7">
        <v>6</v>
      </c>
      <c r="Q7" t="s">
        <v>73</v>
      </c>
      <c r="R7" t="s">
        <v>81</v>
      </c>
    </row>
    <row r="8" spans="1:18" x14ac:dyDescent="0.35">
      <c r="A8">
        <v>7</v>
      </c>
      <c r="B8" t="str">
        <f t="shared" ca="1" si="0"/>
        <v>Male</v>
      </c>
      <c r="C8" t="str">
        <f t="shared" ca="1" si="1"/>
        <v>46+</v>
      </c>
      <c r="D8">
        <v>7</v>
      </c>
      <c r="E8">
        <v>60</v>
      </c>
      <c r="F8">
        <v>4</v>
      </c>
      <c r="G8" s="1">
        <v>45815</v>
      </c>
      <c r="H8">
        <v>7</v>
      </c>
      <c r="I8" t="s">
        <v>19</v>
      </c>
      <c r="J8" t="s">
        <v>63</v>
      </c>
      <c r="K8">
        <v>1499</v>
      </c>
      <c r="L8">
        <v>900</v>
      </c>
      <c r="M8">
        <v>125</v>
      </c>
      <c r="N8">
        <v>25</v>
      </c>
      <c r="O8">
        <v>4</v>
      </c>
      <c r="P8">
        <v>7</v>
      </c>
      <c r="Q8" t="s">
        <v>74</v>
      </c>
      <c r="R8" t="s">
        <v>80</v>
      </c>
    </row>
    <row r="9" spans="1:18" x14ac:dyDescent="0.35">
      <c r="A9">
        <v>8</v>
      </c>
      <c r="B9" t="str">
        <f t="shared" ca="1" si="0"/>
        <v>Male</v>
      </c>
      <c r="C9" t="str">
        <f t="shared" ca="1" si="1"/>
        <v>46+</v>
      </c>
      <c r="D9">
        <v>8</v>
      </c>
      <c r="E9">
        <v>4</v>
      </c>
      <c r="F9">
        <v>9</v>
      </c>
      <c r="G9" s="1">
        <v>45927</v>
      </c>
      <c r="H9">
        <v>8</v>
      </c>
      <c r="I9" t="s">
        <v>20</v>
      </c>
      <c r="J9" t="s">
        <v>63</v>
      </c>
      <c r="K9">
        <v>599</v>
      </c>
      <c r="L9">
        <v>300</v>
      </c>
      <c r="M9">
        <v>165</v>
      </c>
      <c r="N9">
        <v>4</v>
      </c>
      <c r="O9">
        <v>3</v>
      </c>
      <c r="P9">
        <v>8</v>
      </c>
      <c r="Q9" t="s">
        <v>75</v>
      </c>
      <c r="R9" t="s">
        <v>79</v>
      </c>
    </row>
    <row r="10" spans="1:18" x14ac:dyDescent="0.35">
      <c r="A10">
        <v>9</v>
      </c>
      <c r="B10" t="str">
        <f t="shared" ca="1" si="0"/>
        <v>Female</v>
      </c>
      <c r="C10" t="str">
        <f t="shared" ca="1" si="1"/>
        <v>46+</v>
      </c>
      <c r="D10">
        <v>9</v>
      </c>
      <c r="E10">
        <v>50</v>
      </c>
      <c r="F10">
        <v>3</v>
      </c>
      <c r="G10" s="1">
        <v>45740</v>
      </c>
      <c r="H10">
        <v>9</v>
      </c>
      <c r="I10" t="s">
        <v>21</v>
      </c>
      <c r="J10" t="s">
        <v>63</v>
      </c>
      <c r="K10">
        <v>899</v>
      </c>
      <c r="L10">
        <v>500</v>
      </c>
      <c r="M10">
        <v>108</v>
      </c>
      <c r="N10">
        <v>17</v>
      </c>
      <c r="O10">
        <v>1</v>
      </c>
      <c r="P10">
        <v>9</v>
      </c>
      <c r="Q10" t="s">
        <v>76</v>
      </c>
      <c r="R10" t="s">
        <v>79</v>
      </c>
    </row>
    <row r="11" spans="1:18" x14ac:dyDescent="0.35">
      <c r="A11">
        <v>10</v>
      </c>
      <c r="B11" t="str">
        <f t="shared" ca="1" si="0"/>
        <v>Male</v>
      </c>
      <c r="C11" t="str">
        <f t="shared" ca="1" si="1"/>
        <v>18-25</v>
      </c>
      <c r="D11">
        <v>10</v>
      </c>
      <c r="E11">
        <v>16</v>
      </c>
      <c r="F11">
        <v>5</v>
      </c>
      <c r="G11" s="1">
        <v>45815</v>
      </c>
      <c r="H11">
        <v>10</v>
      </c>
      <c r="I11" t="s">
        <v>22</v>
      </c>
      <c r="J11" t="s">
        <v>63</v>
      </c>
      <c r="K11">
        <v>1599</v>
      </c>
      <c r="L11">
        <v>950</v>
      </c>
      <c r="M11">
        <v>189</v>
      </c>
      <c r="N11">
        <v>2</v>
      </c>
      <c r="O11">
        <v>3</v>
      </c>
      <c r="P11">
        <v>10</v>
      </c>
      <c r="Q11" t="s">
        <v>77</v>
      </c>
      <c r="R11" t="s">
        <v>78</v>
      </c>
    </row>
    <row r="12" spans="1:18" x14ac:dyDescent="0.35">
      <c r="A12">
        <v>11</v>
      </c>
      <c r="B12" t="str">
        <f t="shared" ca="1" si="0"/>
        <v>Female</v>
      </c>
      <c r="C12" t="str">
        <f t="shared" ca="1" si="1"/>
        <v>18-25</v>
      </c>
      <c r="D12">
        <v>11</v>
      </c>
      <c r="E12">
        <v>74</v>
      </c>
      <c r="F12">
        <v>7</v>
      </c>
      <c r="G12" s="1">
        <v>45878</v>
      </c>
      <c r="H12">
        <v>11</v>
      </c>
      <c r="I12" t="s">
        <v>23</v>
      </c>
      <c r="J12" t="s">
        <v>64</v>
      </c>
      <c r="K12">
        <v>799</v>
      </c>
      <c r="L12">
        <v>400</v>
      </c>
      <c r="M12">
        <v>179</v>
      </c>
      <c r="N12">
        <v>17</v>
      </c>
      <c r="O12">
        <v>1</v>
      </c>
    </row>
    <row r="13" spans="1:18" x14ac:dyDescent="0.35">
      <c r="A13">
        <v>12</v>
      </c>
      <c r="B13" t="str">
        <f t="shared" ca="1" si="0"/>
        <v>Female</v>
      </c>
      <c r="C13" t="str">
        <f t="shared" ca="1" si="1"/>
        <v>26-35</v>
      </c>
      <c r="D13">
        <v>12</v>
      </c>
      <c r="E13">
        <v>69</v>
      </c>
      <c r="F13">
        <v>8</v>
      </c>
      <c r="G13" s="1">
        <v>45922</v>
      </c>
      <c r="H13">
        <v>12</v>
      </c>
      <c r="I13" t="s">
        <v>24</v>
      </c>
      <c r="J13" t="s">
        <v>64</v>
      </c>
      <c r="K13">
        <v>1199</v>
      </c>
      <c r="L13">
        <v>700</v>
      </c>
      <c r="M13">
        <v>72</v>
      </c>
      <c r="N13">
        <v>18</v>
      </c>
      <c r="O13">
        <v>1</v>
      </c>
    </row>
    <row r="14" spans="1:18" x14ac:dyDescent="0.35">
      <c r="A14">
        <v>13</v>
      </c>
      <c r="B14" t="str">
        <f t="shared" ca="1" si="0"/>
        <v>Male</v>
      </c>
      <c r="C14" t="str">
        <f t="shared" ca="1" si="1"/>
        <v>36-45</v>
      </c>
      <c r="D14">
        <v>13</v>
      </c>
      <c r="E14">
        <v>34</v>
      </c>
      <c r="F14">
        <v>8</v>
      </c>
      <c r="G14" s="1">
        <v>45728</v>
      </c>
      <c r="H14">
        <v>13</v>
      </c>
      <c r="I14" t="s">
        <v>25</v>
      </c>
      <c r="J14" t="s">
        <v>64</v>
      </c>
      <c r="K14">
        <v>499</v>
      </c>
      <c r="L14">
        <v>250</v>
      </c>
      <c r="M14">
        <v>137</v>
      </c>
      <c r="N14">
        <v>13</v>
      </c>
      <c r="O14">
        <v>5</v>
      </c>
    </row>
    <row r="15" spans="1:18" x14ac:dyDescent="0.35">
      <c r="A15">
        <v>14</v>
      </c>
      <c r="B15" t="str">
        <f t="shared" ca="1" si="0"/>
        <v>Female</v>
      </c>
      <c r="C15" t="str">
        <f t="shared" ca="1" si="1"/>
        <v>26-35</v>
      </c>
      <c r="D15">
        <v>14</v>
      </c>
      <c r="E15">
        <v>74</v>
      </c>
      <c r="F15">
        <v>1</v>
      </c>
      <c r="G15" s="1">
        <v>45963</v>
      </c>
      <c r="H15">
        <v>14</v>
      </c>
      <c r="I15" t="s">
        <v>26</v>
      </c>
      <c r="J15" t="s">
        <v>64</v>
      </c>
      <c r="K15">
        <v>699</v>
      </c>
      <c r="L15">
        <v>350</v>
      </c>
      <c r="M15">
        <v>21</v>
      </c>
      <c r="N15">
        <v>1</v>
      </c>
      <c r="O15">
        <v>3</v>
      </c>
    </row>
    <row r="16" spans="1:18" x14ac:dyDescent="0.35">
      <c r="A16">
        <v>15</v>
      </c>
      <c r="B16" t="str">
        <f t="shared" ca="1" si="0"/>
        <v>Female</v>
      </c>
      <c r="C16" t="str">
        <f t="shared" ca="1" si="1"/>
        <v>46+</v>
      </c>
      <c r="D16">
        <v>15</v>
      </c>
      <c r="E16">
        <v>13</v>
      </c>
      <c r="F16">
        <v>2</v>
      </c>
      <c r="G16" s="1">
        <v>45774</v>
      </c>
      <c r="H16">
        <v>15</v>
      </c>
      <c r="I16" t="s">
        <v>27</v>
      </c>
      <c r="J16" t="s">
        <v>64</v>
      </c>
      <c r="K16">
        <v>1499</v>
      </c>
      <c r="L16">
        <v>900</v>
      </c>
      <c r="M16">
        <v>116</v>
      </c>
      <c r="N16">
        <v>22</v>
      </c>
      <c r="O16">
        <v>4</v>
      </c>
    </row>
    <row r="17" spans="1:15" x14ac:dyDescent="0.35">
      <c r="A17">
        <v>16</v>
      </c>
      <c r="B17" t="str">
        <f t="shared" ca="1" si="0"/>
        <v>Male</v>
      </c>
      <c r="C17" t="str">
        <f t="shared" ca="1" si="1"/>
        <v>36-45</v>
      </c>
      <c r="D17">
        <v>16</v>
      </c>
      <c r="E17">
        <v>30</v>
      </c>
      <c r="F17">
        <v>2</v>
      </c>
      <c r="G17" s="1">
        <v>45712</v>
      </c>
      <c r="H17">
        <v>16</v>
      </c>
      <c r="I17" t="s">
        <v>28</v>
      </c>
      <c r="J17" t="s">
        <v>64</v>
      </c>
      <c r="K17">
        <v>599</v>
      </c>
      <c r="L17">
        <v>300</v>
      </c>
      <c r="M17">
        <v>114</v>
      </c>
      <c r="N17">
        <v>1</v>
      </c>
      <c r="O17">
        <v>5</v>
      </c>
    </row>
    <row r="18" spans="1:15" x14ac:dyDescent="0.35">
      <c r="A18">
        <v>17</v>
      </c>
      <c r="B18" t="str">
        <f t="shared" ca="1" si="0"/>
        <v>Female</v>
      </c>
      <c r="C18" t="str">
        <f t="shared" ca="1" si="1"/>
        <v>18-25</v>
      </c>
      <c r="D18">
        <v>17</v>
      </c>
      <c r="E18">
        <v>40</v>
      </c>
      <c r="F18">
        <v>8</v>
      </c>
      <c r="G18" s="1">
        <v>45781</v>
      </c>
      <c r="H18">
        <v>17</v>
      </c>
      <c r="I18" t="s">
        <v>29</v>
      </c>
      <c r="J18" t="s">
        <v>64</v>
      </c>
      <c r="K18">
        <v>399</v>
      </c>
      <c r="L18">
        <v>200</v>
      </c>
      <c r="M18">
        <v>36</v>
      </c>
      <c r="N18">
        <v>1</v>
      </c>
      <c r="O18">
        <v>5</v>
      </c>
    </row>
    <row r="19" spans="1:15" x14ac:dyDescent="0.35">
      <c r="A19">
        <v>18</v>
      </c>
      <c r="B19" t="str">
        <f t="shared" ca="1" si="0"/>
        <v>Male</v>
      </c>
      <c r="C19" t="str">
        <f t="shared" ca="1" si="1"/>
        <v>26-35</v>
      </c>
      <c r="D19">
        <v>18</v>
      </c>
      <c r="E19">
        <v>71</v>
      </c>
      <c r="F19">
        <v>5</v>
      </c>
      <c r="G19" s="1">
        <v>45943</v>
      </c>
      <c r="H19">
        <v>18</v>
      </c>
      <c r="I19" t="s">
        <v>30</v>
      </c>
      <c r="J19" t="s">
        <v>64</v>
      </c>
      <c r="K19">
        <v>799</v>
      </c>
      <c r="L19">
        <v>450</v>
      </c>
      <c r="M19">
        <v>25</v>
      </c>
      <c r="N19">
        <v>16</v>
      </c>
      <c r="O19">
        <v>2</v>
      </c>
    </row>
    <row r="20" spans="1:15" x14ac:dyDescent="0.35">
      <c r="A20">
        <v>19</v>
      </c>
      <c r="B20" t="str">
        <f t="shared" ca="1" si="0"/>
        <v>Female</v>
      </c>
      <c r="C20" t="str">
        <f t="shared" ca="1" si="1"/>
        <v>18-25</v>
      </c>
      <c r="D20">
        <v>19</v>
      </c>
      <c r="E20">
        <v>4</v>
      </c>
      <c r="F20">
        <v>9</v>
      </c>
      <c r="G20" s="1">
        <v>45906</v>
      </c>
      <c r="H20">
        <v>19</v>
      </c>
      <c r="I20" t="s">
        <v>31</v>
      </c>
      <c r="J20" t="s">
        <v>64</v>
      </c>
      <c r="K20">
        <v>1299</v>
      </c>
      <c r="L20">
        <v>800</v>
      </c>
      <c r="M20">
        <v>96</v>
      </c>
      <c r="N20">
        <v>2</v>
      </c>
      <c r="O20">
        <v>4</v>
      </c>
    </row>
    <row r="21" spans="1:15" x14ac:dyDescent="0.35">
      <c r="A21">
        <v>20</v>
      </c>
      <c r="B21" t="str">
        <f t="shared" ca="1" si="0"/>
        <v>Male</v>
      </c>
      <c r="C21" t="str">
        <f t="shared" ca="1" si="1"/>
        <v>36-45</v>
      </c>
      <c r="D21">
        <v>20</v>
      </c>
      <c r="E21">
        <v>20</v>
      </c>
      <c r="F21">
        <v>6</v>
      </c>
      <c r="G21" s="1">
        <v>45795</v>
      </c>
      <c r="H21">
        <v>20</v>
      </c>
      <c r="I21" t="s">
        <v>32</v>
      </c>
      <c r="J21" t="s">
        <v>64</v>
      </c>
      <c r="K21">
        <v>1399</v>
      </c>
      <c r="L21">
        <v>850</v>
      </c>
      <c r="M21">
        <v>85</v>
      </c>
      <c r="N21">
        <v>16</v>
      </c>
      <c r="O21">
        <v>2</v>
      </c>
    </row>
    <row r="22" spans="1:15" x14ac:dyDescent="0.35">
      <c r="A22">
        <v>21</v>
      </c>
      <c r="B22" t="str">
        <f t="shared" ca="1" si="0"/>
        <v>Female</v>
      </c>
      <c r="C22" t="str">
        <f t="shared" ca="1" si="1"/>
        <v>26-35</v>
      </c>
      <c r="D22">
        <v>21</v>
      </c>
      <c r="E22">
        <v>66</v>
      </c>
      <c r="F22">
        <v>7</v>
      </c>
      <c r="G22" s="1">
        <v>45876</v>
      </c>
      <c r="H22">
        <v>21</v>
      </c>
      <c r="I22" t="s">
        <v>33</v>
      </c>
      <c r="J22" t="s">
        <v>65</v>
      </c>
      <c r="K22">
        <v>299</v>
      </c>
      <c r="L22">
        <v>150</v>
      </c>
      <c r="M22">
        <v>179</v>
      </c>
      <c r="N22">
        <v>20</v>
      </c>
      <c r="O22">
        <v>3</v>
      </c>
    </row>
    <row r="23" spans="1:15" x14ac:dyDescent="0.35">
      <c r="A23">
        <v>22</v>
      </c>
      <c r="B23" t="str">
        <f t="shared" ca="1" si="0"/>
        <v>Male</v>
      </c>
      <c r="C23" t="str">
        <f t="shared" ca="1" si="1"/>
        <v>26-35</v>
      </c>
      <c r="D23">
        <v>22</v>
      </c>
      <c r="E23">
        <v>82</v>
      </c>
      <c r="F23">
        <v>5</v>
      </c>
      <c r="G23" s="1">
        <v>46012</v>
      </c>
      <c r="H23">
        <v>22</v>
      </c>
      <c r="I23" t="s">
        <v>34</v>
      </c>
      <c r="J23" t="s">
        <v>65</v>
      </c>
      <c r="K23">
        <v>349</v>
      </c>
      <c r="L23">
        <v>180</v>
      </c>
      <c r="M23">
        <v>79</v>
      </c>
      <c r="N23">
        <v>11</v>
      </c>
      <c r="O23">
        <v>2</v>
      </c>
    </row>
    <row r="24" spans="1:15" x14ac:dyDescent="0.35">
      <c r="A24">
        <v>23</v>
      </c>
      <c r="B24" t="str">
        <f t="shared" ca="1" si="0"/>
        <v>Male</v>
      </c>
      <c r="C24" t="str">
        <f t="shared" ca="1" si="1"/>
        <v>18-25</v>
      </c>
      <c r="D24">
        <v>23</v>
      </c>
      <c r="E24">
        <v>42</v>
      </c>
      <c r="F24">
        <v>1</v>
      </c>
      <c r="G24" s="1">
        <v>45844</v>
      </c>
      <c r="H24">
        <v>23</v>
      </c>
      <c r="I24" t="s">
        <v>35</v>
      </c>
      <c r="J24" t="s">
        <v>65</v>
      </c>
      <c r="K24">
        <v>599</v>
      </c>
      <c r="L24">
        <v>300</v>
      </c>
      <c r="M24">
        <v>200</v>
      </c>
      <c r="N24">
        <v>4</v>
      </c>
      <c r="O24">
        <v>3</v>
      </c>
    </row>
    <row r="25" spans="1:15" x14ac:dyDescent="0.35">
      <c r="A25">
        <v>24</v>
      </c>
      <c r="B25" t="str">
        <f t="shared" ca="1" si="0"/>
        <v>Female</v>
      </c>
      <c r="C25" t="str">
        <f t="shared" ca="1" si="1"/>
        <v>46+</v>
      </c>
      <c r="D25">
        <v>24</v>
      </c>
      <c r="E25">
        <v>46</v>
      </c>
      <c r="F25">
        <v>2</v>
      </c>
      <c r="G25" s="1">
        <v>45662</v>
      </c>
      <c r="H25">
        <v>24</v>
      </c>
      <c r="I25" t="s">
        <v>36</v>
      </c>
      <c r="J25" t="s">
        <v>65</v>
      </c>
      <c r="K25">
        <v>699</v>
      </c>
      <c r="L25">
        <v>350</v>
      </c>
      <c r="M25">
        <v>173</v>
      </c>
      <c r="N25">
        <v>24</v>
      </c>
      <c r="O25">
        <v>4</v>
      </c>
    </row>
    <row r="26" spans="1:15" x14ac:dyDescent="0.35">
      <c r="A26">
        <v>25</v>
      </c>
      <c r="B26" t="str">
        <f t="shared" ca="1" si="0"/>
        <v>Female</v>
      </c>
      <c r="C26" t="str">
        <f t="shared" ca="1" si="1"/>
        <v>18-25</v>
      </c>
      <c r="D26">
        <v>25</v>
      </c>
      <c r="E26">
        <v>17</v>
      </c>
      <c r="F26">
        <v>6</v>
      </c>
      <c r="G26" s="1">
        <v>45818</v>
      </c>
      <c r="H26">
        <v>25</v>
      </c>
      <c r="I26" t="s">
        <v>37</v>
      </c>
      <c r="J26" t="s">
        <v>65</v>
      </c>
      <c r="K26">
        <v>799</v>
      </c>
      <c r="L26">
        <v>400</v>
      </c>
      <c r="M26">
        <v>16</v>
      </c>
      <c r="N26">
        <v>25</v>
      </c>
      <c r="O26">
        <v>1</v>
      </c>
    </row>
    <row r="27" spans="1:15" x14ac:dyDescent="0.35">
      <c r="A27">
        <v>26</v>
      </c>
      <c r="B27" t="str">
        <f t="shared" ca="1" si="0"/>
        <v>Male</v>
      </c>
      <c r="C27" t="str">
        <f t="shared" ca="1" si="1"/>
        <v>46+</v>
      </c>
      <c r="D27">
        <v>26</v>
      </c>
      <c r="E27">
        <v>85</v>
      </c>
      <c r="F27">
        <v>2</v>
      </c>
      <c r="G27" s="1">
        <v>45985</v>
      </c>
      <c r="H27">
        <v>26</v>
      </c>
      <c r="I27" t="s">
        <v>38</v>
      </c>
      <c r="J27" t="s">
        <v>65</v>
      </c>
      <c r="K27">
        <v>999</v>
      </c>
      <c r="L27">
        <v>600</v>
      </c>
      <c r="M27">
        <v>162</v>
      </c>
      <c r="N27">
        <v>22</v>
      </c>
      <c r="O27">
        <v>3</v>
      </c>
    </row>
    <row r="28" spans="1:15" x14ac:dyDescent="0.35">
      <c r="A28">
        <v>27</v>
      </c>
      <c r="B28" t="str">
        <f t="shared" ca="1" si="0"/>
        <v>Male</v>
      </c>
      <c r="C28" t="str">
        <f t="shared" ca="1" si="1"/>
        <v>46+</v>
      </c>
      <c r="D28">
        <v>27</v>
      </c>
      <c r="E28">
        <v>18</v>
      </c>
      <c r="F28">
        <v>10</v>
      </c>
      <c r="G28" s="1">
        <v>45833</v>
      </c>
      <c r="H28">
        <v>27</v>
      </c>
      <c r="I28" t="s">
        <v>39</v>
      </c>
      <c r="J28" t="s">
        <v>65</v>
      </c>
      <c r="K28">
        <v>499</v>
      </c>
      <c r="L28">
        <v>250</v>
      </c>
      <c r="M28">
        <v>16</v>
      </c>
      <c r="N28">
        <v>16</v>
      </c>
      <c r="O28">
        <v>1</v>
      </c>
    </row>
    <row r="29" spans="1:15" x14ac:dyDescent="0.35">
      <c r="A29">
        <v>28</v>
      </c>
      <c r="B29" t="str">
        <f t="shared" ca="1" si="0"/>
        <v>Female</v>
      </c>
      <c r="C29" t="str">
        <f t="shared" ca="1" si="1"/>
        <v>36-45</v>
      </c>
      <c r="D29">
        <v>28</v>
      </c>
      <c r="E29">
        <v>67</v>
      </c>
      <c r="F29">
        <v>7</v>
      </c>
      <c r="G29" s="1">
        <v>45935</v>
      </c>
      <c r="H29">
        <v>28</v>
      </c>
      <c r="I29" t="s">
        <v>40</v>
      </c>
      <c r="J29" t="s">
        <v>65</v>
      </c>
      <c r="K29">
        <v>399</v>
      </c>
      <c r="L29">
        <v>200</v>
      </c>
      <c r="M29">
        <v>186</v>
      </c>
      <c r="N29">
        <v>24</v>
      </c>
      <c r="O29">
        <v>1</v>
      </c>
    </row>
    <row r="30" spans="1:15" x14ac:dyDescent="0.35">
      <c r="A30">
        <v>29</v>
      </c>
      <c r="B30" t="str">
        <f t="shared" ca="1" si="0"/>
        <v>Male</v>
      </c>
      <c r="C30" t="str">
        <f t="shared" ca="1" si="1"/>
        <v>26-35</v>
      </c>
      <c r="D30">
        <v>29</v>
      </c>
      <c r="E30">
        <v>8</v>
      </c>
      <c r="F30">
        <v>3</v>
      </c>
      <c r="G30" s="1">
        <v>45801</v>
      </c>
      <c r="H30">
        <v>29</v>
      </c>
      <c r="I30" t="s">
        <v>41</v>
      </c>
      <c r="J30" t="s">
        <v>65</v>
      </c>
      <c r="K30">
        <v>449</v>
      </c>
      <c r="L30">
        <v>220</v>
      </c>
      <c r="M30">
        <v>54</v>
      </c>
      <c r="N30">
        <v>14</v>
      </c>
      <c r="O30">
        <v>1</v>
      </c>
    </row>
    <row r="31" spans="1:15" x14ac:dyDescent="0.35">
      <c r="A31">
        <v>30</v>
      </c>
      <c r="B31" t="str">
        <f t="shared" ca="1" si="0"/>
        <v>Female</v>
      </c>
      <c r="C31" t="str">
        <f t="shared" ca="1" si="1"/>
        <v>36-45</v>
      </c>
      <c r="D31">
        <v>30</v>
      </c>
      <c r="E31">
        <v>34</v>
      </c>
      <c r="F31">
        <v>6</v>
      </c>
      <c r="G31" s="1">
        <v>45710</v>
      </c>
      <c r="H31">
        <v>30</v>
      </c>
      <c r="I31" t="s">
        <v>42</v>
      </c>
      <c r="J31" t="s">
        <v>65</v>
      </c>
      <c r="K31">
        <v>699</v>
      </c>
      <c r="L31">
        <v>350</v>
      </c>
      <c r="M31">
        <v>4</v>
      </c>
      <c r="N31">
        <v>19</v>
      </c>
      <c r="O31">
        <v>5</v>
      </c>
    </row>
    <row r="32" spans="1:15" x14ac:dyDescent="0.35">
      <c r="A32">
        <v>31</v>
      </c>
      <c r="B32" t="str">
        <f t="shared" ca="1" si="0"/>
        <v>Male</v>
      </c>
      <c r="C32" t="str">
        <f t="shared" ca="1" si="1"/>
        <v>18-25</v>
      </c>
      <c r="D32">
        <v>31</v>
      </c>
      <c r="E32">
        <v>98</v>
      </c>
      <c r="F32">
        <v>3</v>
      </c>
      <c r="G32" s="1">
        <v>45797</v>
      </c>
      <c r="H32">
        <v>31</v>
      </c>
      <c r="I32" t="s">
        <v>43</v>
      </c>
      <c r="J32" t="s">
        <v>63</v>
      </c>
      <c r="K32">
        <v>899</v>
      </c>
      <c r="L32">
        <v>500</v>
      </c>
      <c r="M32">
        <v>167</v>
      </c>
      <c r="N32">
        <v>14</v>
      </c>
      <c r="O32">
        <v>1</v>
      </c>
    </row>
    <row r="33" spans="1:15" x14ac:dyDescent="0.35">
      <c r="A33">
        <v>32</v>
      </c>
      <c r="B33" t="str">
        <f t="shared" ca="1" si="0"/>
        <v>Female</v>
      </c>
      <c r="C33" t="str">
        <f t="shared" ca="1" si="1"/>
        <v>46+</v>
      </c>
      <c r="D33">
        <v>32</v>
      </c>
      <c r="E33">
        <v>68</v>
      </c>
      <c r="F33">
        <v>5</v>
      </c>
      <c r="G33" s="1">
        <v>45852</v>
      </c>
      <c r="H33">
        <v>32</v>
      </c>
      <c r="I33" t="s">
        <v>44</v>
      </c>
      <c r="J33" t="s">
        <v>63</v>
      </c>
      <c r="K33">
        <v>749</v>
      </c>
      <c r="L33">
        <v>400</v>
      </c>
      <c r="M33">
        <v>125</v>
      </c>
      <c r="N33">
        <v>21</v>
      </c>
      <c r="O33">
        <v>3</v>
      </c>
    </row>
    <row r="34" spans="1:15" x14ac:dyDescent="0.35">
      <c r="A34">
        <v>33</v>
      </c>
      <c r="B34" t="str">
        <f t="shared" ca="1" si="0"/>
        <v>Female</v>
      </c>
      <c r="C34" t="str">
        <f t="shared" ca="1" si="1"/>
        <v>26-35</v>
      </c>
      <c r="D34">
        <v>33</v>
      </c>
      <c r="E34">
        <v>5</v>
      </c>
      <c r="F34">
        <v>3</v>
      </c>
      <c r="G34" s="1">
        <v>45720</v>
      </c>
      <c r="H34">
        <v>33</v>
      </c>
      <c r="I34" t="s">
        <v>45</v>
      </c>
      <c r="J34" t="s">
        <v>63</v>
      </c>
      <c r="K34">
        <v>1099</v>
      </c>
      <c r="L34">
        <v>650</v>
      </c>
      <c r="M34">
        <v>23</v>
      </c>
      <c r="N34">
        <v>1</v>
      </c>
      <c r="O34">
        <v>5</v>
      </c>
    </row>
    <row r="35" spans="1:15" x14ac:dyDescent="0.35">
      <c r="A35">
        <v>34</v>
      </c>
      <c r="B35" t="str">
        <f t="shared" ca="1" si="0"/>
        <v>Female</v>
      </c>
      <c r="C35" t="str">
        <f t="shared" ca="1" si="1"/>
        <v>18-25</v>
      </c>
      <c r="D35">
        <v>34</v>
      </c>
      <c r="E35">
        <v>91</v>
      </c>
      <c r="F35">
        <v>7</v>
      </c>
      <c r="G35" s="1">
        <v>45909</v>
      </c>
      <c r="H35">
        <v>34</v>
      </c>
      <c r="I35" t="s">
        <v>46</v>
      </c>
      <c r="J35" t="s">
        <v>63</v>
      </c>
      <c r="K35">
        <v>549</v>
      </c>
      <c r="L35">
        <v>280</v>
      </c>
      <c r="M35">
        <v>17</v>
      </c>
      <c r="N35">
        <v>16</v>
      </c>
      <c r="O35">
        <v>4</v>
      </c>
    </row>
    <row r="36" spans="1:15" x14ac:dyDescent="0.35">
      <c r="A36">
        <v>35</v>
      </c>
      <c r="B36" t="str">
        <f t="shared" ca="1" si="0"/>
        <v>Male</v>
      </c>
      <c r="C36" t="str">
        <f t="shared" ca="1" si="1"/>
        <v>36-45</v>
      </c>
      <c r="D36">
        <v>35</v>
      </c>
      <c r="E36">
        <v>19</v>
      </c>
      <c r="F36">
        <v>10</v>
      </c>
      <c r="G36" s="1">
        <v>45671</v>
      </c>
      <c r="H36">
        <v>35</v>
      </c>
      <c r="I36" t="s">
        <v>47</v>
      </c>
      <c r="J36" t="s">
        <v>63</v>
      </c>
      <c r="K36">
        <v>1999</v>
      </c>
      <c r="L36">
        <v>1200</v>
      </c>
      <c r="M36">
        <v>59</v>
      </c>
      <c r="N36">
        <v>18</v>
      </c>
      <c r="O36">
        <v>1</v>
      </c>
    </row>
    <row r="37" spans="1:15" x14ac:dyDescent="0.35">
      <c r="A37">
        <v>36</v>
      </c>
      <c r="B37" t="str">
        <f t="shared" ca="1" si="0"/>
        <v>Male</v>
      </c>
      <c r="C37" t="str">
        <f t="shared" ca="1" si="1"/>
        <v>36-45</v>
      </c>
      <c r="D37">
        <v>36</v>
      </c>
      <c r="E37">
        <v>50</v>
      </c>
      <c r="F37">
        <v>5</v>
      </c>
      <c r="G37" s="1">
        <v>45778</v>
      </c>
      <c r="H37">
        <v>36</v>
      </c>
      <c r="I37" t="s">
        <v>48</v>
      </c>
      <c r="J37" t="s">
        <v>64</v>
      </c>
      <c r="K37">
        <v>899</v>
      </c>
      <c r="L37">
        <v>500</v>
      </c>
      <c r="M37">
        <v>109</v>
      </c>
      <c r="N37">
        <v>12</v>
      </c>
      <c r="O37">
        <v>2</v>
      </c>
    </row>
    <row r="38" spans="1:15" x14ac:dyDescent="0.35">
      <c r="A38">
        <v>37</v>
      </c>
      <c r="B38" t="str">
        <f t="shared" ca="1" si="0"/>
        <v>Female</v>
      </c>
      <c r="C38" t="str">
        <f t="shared" ca="1" si="1"/>
        <v>26-35</v>
      </c>
      <c r="D38">
        <v>37</v>
      </c>
      <c r="E38">
        <v>87</v>
      </c>
      <c r="F38">
        <v>4</v>
      </c>
      <c r="G38" s="1">
        <v>46013</v>
      </c>
      <c r="H38">
        <v>37</v>
      </c>
      <c r="I38" t="s">
        <v>49</v>
      </c>
      <c r="J38" t="s">
        <v>64</v>
      </c>
      <c r="K38">
        <v>1599</v>
      </c>
      <c r="L38">
        <v>1000</v>
      </c>
      <c r="M38">
        <v>23</v>
      </c>
      <c r="N38">
        <v>15</v>
      </c>
      <c r="O38">
        <v>2</v>
      </c>
    </row>
    <row r="39" spans="1:15" x14ac:dyDescent="0.35">
      <c r="A39">
        <v>38</v>
      </c>
      <c r="B39" t="str">
        <f t="shared" ca="1" si="0"/>
        <v>Male</v>
      </c>
      <c r="C39" t="str">
        <f t="shared" ca="1" si="1"/>
        <v>36-45</v>
      </c>
      <c r="D39">
        <v>38</v>
      </c>
      <c r="E39">
        <v>4</v>
      </c>
      <c r="F39">
        <v>6</v>
      </c>
      <c r="G39" s="1">
        <v>46019</v>
      </c>
      <c r="H39">
        <v>38</v>
      </c>
      <c r="I39" t="s">
        <v>50</v>
      </c>
      <c r="J39" t="s">
        <v>64</v>
      </c>
      <c r="K39">
        <v>599</v>
      </c>
      <c r="L39">
        <v>300</v>
      </c>
      <c r="M39">
        <v>85</v>
      </c>
      <c r="N39">
        <v>10</v>
      </c>
      <c r="O39">
        <v>1</v>
      </c>
    </row>
    <row r="40" spans="1:15" x14ac:dyDescent="0.35">
      <c r="A40">
        <v>39</v>
      </c>
      <c r="B40" t="str">
        <f t="shared" ca="1" si="0"/>
        <v>Female</v>
      </c>
      <c r="C40" t="str">
        <f t="shared" ca="1" si="1"/>
        <v>26-35</v>
      </c>
      <c r="D40">
        <v>39</v>
      </c>
      <c r="E40">
        <v>24</v>
      </c>
      <c r="F40">
        <v>3</v>
      </c>
      <c r="G40" s="1">
        <v>45809</v>
      </c>
      <c r="H40">
        <v>39</v>
      </c>
      <c r="I40" t="s">
        <v>51</v>
      </c>
      <c r="J40" t="s">
        <v>64</v>
      </c>
      <c r="K40">
        <v>899</v>
      </c>
      <c r="L40">
        <v>500</v>
      </c>
      <c r="M40">
        <v>24</v>
      </c>
      <c r="N40">
        <v>18</v>
      </c>
      <c r="O40">
        <v>3</v>
      </c>
    </row>
    <row r="41" spans="1:15" x14ac:dyDescent="0.35">
      <c r="A41">
        <v>40</v>
      </c>
      <c r="B41" t="str">
        <f t="shared" ca="1" si="0"/>
        <v>Male</v>
      </c>
      <c r="C41" t="str">
        <f t="shared" ca="1" si="1"/>
        <v>18-25</v>
      </c>
      <c r="D41">
        <v>40</v>
      </c>
      <c r="E41">
        <v>85</v>
      </c>
      <c r="F41">
        <v>3</v>
      </c>
      <c r="G41" s="1">
        <v>45974</v>
      </c>
      <c r="H41">
        <v>40</v>
      </c>
      <c r="I41" t="s">
        <v>52</v>
      </c>
      <c r="J41" t="s">
        <v>64</v>
      </c>
      <c r="K41">
        <v>1999</v>
      </c>
      <c r="L41">
        <v>1300</v>
      </c>
      <c r="M41">
        <v>189</v>
      </c>
      <c r="N41">
        <v>25</v>
      </c>
      <c r="O41">
        <v>3</v>
      </c>
    </row>
    <row r="42" spans="1:15" x14ac:dyDescent="0.35">
      <c r="A42">
        <v>41</v>
      </c>
      <c r="B42" t="str">
        <f t="shared" ca="1" si="0"/>
        <v>Male</v>
      </c>
      <c r="C42" t="str">
        <f t="shared" ca="1" si="1"/>
        <v>26-35</v>
      </c>
      <c r="D42">
        <v>41</v>
      </c>
      <c r="E42">
        <v>41</v>
      </c>
      <c r="F42">
        <v>5</v>
      </c>
      <c r="G42" s="1">
        <v>45792</v>
      </c>
      <c r="H42">
        <v>41</v>
      </c>
      <c r="I42" t="s">
        <v>53</v>
      </c>
      <c r="J42" t="s">
        <v>65</v>
      </c>
      <c r="K42">
        <v>899</v>
      </c>
      <c r="L42">
        <v>500</v>
      </c>
      <c r="M42">
        <v>139</v>
      </c>
      <c r="N42">
        <v>4</v>
      </c>
      <c r="O42">
        <v>2</v>
      </c>
    </row>
    <row r="43" spans="1:15" x14ac:dyDescent="0.35">
      <c r="A43">
        <v>42</v>
      </c>
      <c r="B43" t="str">
        <f t="shared" ca="1" si="0"/>
        <v>Female</v>
      </c>
      <c r="C43" t="str">
        <f t="shared" ca="1" si="1"/>
        <v>46+</v>
      </c>
      <c r="D43">
        <v>42</v>
      </c>
      <c r="E43">
        <v>7</v>
      </c>
      <c r="F43">
        <v>3</v>
      </c>
      <c r="G43" s="1">
        <v>45705</v>
      </c>
      <c r="H43">
        <v>42</v>
      </c>
      <c r="I43" t="s">
        <v>54</v>
      </c>
      <c r="J43" t="s">
        <v>65</v>
      </c>
      <c r="K43">
        <v>499</v>
      </c>
      <c r="L43">
        <v>250</v>
      </c>
      <c r="M43">
        <v>137</v>
      </c>
      <c r="N43">
        <v>4</v>
      </c>
      <c r="O43">
        <v>3</v>
      </c>
    </row>
    <row r="44" spans="1:15" x14ac:dyDescent="0.35">
      <c r="A44">
        <v>43</v>
      </c>
      <c r="B44" t="str">
        <f t="shared" ca="1" si="0"/>
        <v>Male</v>
      </c>
      <c r="C44" t="str">
        <f t="shared" ca="1" si="1"/>
        <v>46+</v>
      </c>
      <c r="D44">
        <v>43</v>
      </c>
      <c r="E44">
        <v>90</v>
      </c>
      <c r="F44">
        <v>7</v>
      </c>
      <c r="G44" s="1">
        <v>45706</v>
      </c>
      <c r="H44">
        <v>43</v>
      </c>
      <c r="I44" t="s">
        <v>55</v>
      </c>
      <c r="J44" t="s">
        <v>65</v>
      </c>
      <c r="K44">
        <v>799</v>
      </c>
      <c r="L44">
        <v>400</v>
      </c>
      <c r="M44">
        <v>180</v>
      </c>
      <c r="N44">
        <v>4</v>
      </c>
      <c r="O44">
        <v>5</v>
      </c>
    </row>
    <row r="45" spans="1:15" x14ac:dyDescent="0.35">
      <c r="A45">
        <v>44</v>
      </c>
      <c r="B45" t="str">
        <f t="shared" ca="1" si="0"/>
        <v>Female</v>
      </c>
      <c r="C45" t="str">
        <f t="shared" ca="1" si="1"/>
        <v>36-45</v>
      </c>
      <c r="D45">
        <v>44</v>
      </c>
      <c r="E45">
        <v>53</v>
      </c>
      <c r="F45">
        <v>1</v>
      </c>
      <c r="G45" s="1">
        <v>45905</v>
      </c>
      <c r="H45">
        <v>44</v>
      </c>
      <c r="I45" t="s">
        <v>56</v>
      </c>
      <c r="J45" t="s">
        <v>65</v>
      </c>
      <c r="K45">
        <v>999</v>
      </c>
      <c r="L45">
        <v>600</v>
      </c>
      <c r="M45">
        <v>102</v>
      </c>
      <c r="N45">
        <v>12</v>
      </c>
      <c r="O45">
        <v>3</v>
      </c>
    </row>
    <row r="46" spans="1:15" x14ac:dyDescent="0.35">
      <c r="A46">
        <v>45</v>
      </c>
      <c r="B46" t="str">
        <f t="shared" ca="1" si="0"/>
        <v>Male</v>
      </c>
      <c r="C46" t="str">
        <f t="shared" ca="1" si="1"/>
        <v>18-25</v>
      </c>
      <c r="D46">
        <v>45</v>
      </c>
      <c r="E46">
        <v>89</v>
      </c>
      <c r="F46">
        <v>7</v>
      </c>
      <c r="G46" s="1">
        <v>45937</v>
      </c>
      <c r="H46">
        <v>45</v>
      </c>
      <c r="I46" t="s">
        <v>57</v>
      </c>
      <c r="J46" t="s">
        <v>65</v>
      </c>
      <c r="K46">
        <v>699</v>
      </c>
      <c r="L46">
        <v>350</v>
      </c>
      <c r="M46">
        <v>65</v>
      </c>
      <c r="N46">
        <v>9</v>
      </c>
      <c r="O46">
        <v>5</v>
      </c>
    </row>
    <row r="47" spans="1:15" x14ac:dyDescent="0.35">
      <c r="A47">
        <v>46</v>
      </c>
      <c r="B47" t="str">
        <f t="shared" ca="1" si="0"/>
        <v>Male</v>
      </c>
      <c r="C47" t="str">
        <f t="shared" ca="1" si="1"/>
        <v>18-25</v>
      </c>
      <c r="D47">
        <v>46</v>
      </c>
      <c r="E47">
        <v>12</v>
      </c>
      <c r="F47">
        <v>5</v>
      </c>
      <c r="G47" s="1">
        <v>45672</v>
      </c>
      <c r="H47">
        <v>46</v>
      </c>
      <c r="I47" t="s">
        <v>58</v>
      </c>
      <c r="J47" t="s">
        <v>63</v>
      </c>
      <c r="K47">
        <v>299</v>
      </c>
      <c r="L47">
        <v>150</v>
      </c>
      <c r="M47">
        <v>97</v>
      </c>
      <c r="N47">
        <v>16</v>
      </c>
      <c r="O47">
        <v>5</v>
      </c>
    </row>
    <row r="48" spans="1:15" x14ac:dyDescent="0.35">
      <c r="A48">
        <v>47</v>
      </c>
      <c r="B48" t="str">
        <f t="shared" ca="1" si="0"/>
        <v>Male</v>
      </c>
      <c r="C48" t="str">
        <f t="shared" ca="1" si="1"/>
        <v>18-25</v>
      </c>
      <c r="D48">
        <v>47</v>
      </c>
      <c r="E48">
        <v>8</v>
      </c>
      <c r="F48">
        <v>1</v>
      </c>
      <c r="G48" s="1">
        <v>45851</v>
      </c>
      <c r="H48">
        <v>47</v>
      </c>
      <c r="I48" t="s">
        <v>59</v>
      </c>
      <c r="J48" t="s">
        <v>63</v>
      </c>
      <c r="K48">
        <v>399</v>
      </c>
      <c r="L48">
        <v>200</v>
      </c>
      <c r="M48">
        <v>165</v>
      </c>
      <c r="N48">
        <v>21</v>
      </c>
      <c r="O48">
        <v>2</v>
      </c>
    </row>
    <row r="49" spans="1:15" x14ac:dyDescent="0.35">
      <c r="A49">
        <v>48</v>
      </c>
      <c r="B49" t="str">
        <f t="shared" ca="1" si="0"/>
        <v>Male</v>
      </c>
      <c r="C49" t="str">
        <f t="shared" ca="1" si="1"/>
        <v>26-35</v>
      </c>
      <c r="D49">
        <v>48</v>
      </c>
      <c r="E49">
        <v>53</v>
      </c>
      <c r="F49">
        <v>5</v>
      </c>
      <c r="G49" s="1">
        <v>45728</v>
      </c>
      <c r="H49">
        <v>48</v>
      </c>
      <c r="I49" t="s">
        <v>60</v>
      </c>
      <c r="J49" t="s">
        <v>64</v>
      </c>
      <c r="K49">
        <v>349</v>
      </c>
      <c r="L49">
        <v>180</v>
      </c>
      <c r="M49">
        <v>176</v>
      </c>
      <c r="N49">
        <v>8</v>
      </c>
      <c r="O49">
        <v>5</v>
      </c>
    </row>
    <row r="50" spans="1:15" x14ac:dyDescent="0.35">
      <c r="A50">
        <v>49</v>
      </c>
      <c r="B50" t="str">
        <f t="shared" ca="1" si="0"/>
        <v>Male</v>
      </c>
      <c r="C50" t="str">
        <f t="shared" ca="1" si="1"/>
        <v>26-35</v>
      </c>
      <c r="D50">
        <v>49</v>
      </c>
      <c r="E50">
        <v>29</v>
      </c>
      <c r="F50">
        <v>6</v>
      </c>
      <c r="G50" s="1">
        <v>45826</v>
      </c>
      <c r="H50">
        <v>49</v>
      </c>
      <c r="I50" t="s">
        <v>61</v>
      </c>
      <c r="J50" t="s">
        <v>64</v>
      </c>
      <c r="K50">
        <v>1299</v>
      </c>
      <c r="L50">
        <v>800</v>
      </c>
      <c r="M50">
        <v>198</v>
      </c>
      <c r="N50">
        <v>7</v>
      </c>
      <c r="O50">
        <v>2</v>
      </c>
    </row>
    <row r="51" spans="1:15" x14ac:dyDescent="0.35">
      <c r="A51">
        <v>50</v>
      </c>
      <c r="B51" t="str">
        <f t="shared" ca="1" si="0"/>
        <v>Female</v>
      </c>
      <c r="C51" t="str">
        <f t="shared" ca="1" si="1"/>
        <v>26-35</v>
      </c>
      <c r="D51">
        <v>50</v>
      </c>
      <c r="E51">
        <v>55</v>
      </c>
      <c r="F51">
        <v>2</v>
      </c>
      <c r="G51" s="1">
        <v>45848</v>
      </c>
      <c r="H51">
        <v>50</v>
      </c>
      <c r="I51" t="s">
        <v>62</v>
      </c>
      <c r="J51" t="s">
        <v>65</v>
      </c>
      <c r="K51">
        <v>999</v>
      </c>
      <c r="L51">
        <v>600</v>
      </c>
      <c r="M51">
        <v>154</v>
      </c>
      <c r="N51">
        <v>3</v>
      </c>
      <c r="O51">
        <v>3</v>
      </c>
    </row>
    <row r="52" spans="1:15" x14ac:dyDescent="0.35">
      <c r="A52">
        <v>51</v>
      </c>
      <c r="B52" t="str">
        <f t="shared" ca="1" si="0"/>
        <v>Male</v>
      </c>
      <c r="C52" t="str">
        <f t="shared" ca="1" si="1"/>
        <v>46+</v>
      </c>
      <c r="D52">
        <v>51</v>
      </c>
      <c r="E52">
        <v>21</v>
      </c>
      <c r="F52">
        <v>3</v>
      </c>
      <c r="G52" s="1">
        <v>45778</v>
      </c>
      <c r="M52">
        <v>87</v>
      </c>
      <c r="N52">
        <v>13</v>
      </c>
      <c r="O52">
        <v>5</v>
      </c>
    </row>
    <row r="53" spans="1:15" x14ac:dyDescent="0.35">
      <c r="A53">
        <v>52</v>
      </c>
      <c r="B53" t="str">
        <f t="shared" ca="1" si="0"/>
        <v>Female</v>
      </c>
      <c r="C53" t="str">
        <f t="shared" ca="1" si="1"/>
        <v>36-45</v>
      </c>
      <c r="D53">
        <v>52</v>
      </c>
      <c r="E53">
        <v>78</v>
      </c>
      <c r="F53">
        <v>8</v>
      </c>
      <c r="G53" s="1">
        <v>45902</v>
      </c>
      <c r="M53">
        <v>9</v>
      </c>
      <c r="N53">
        <v>21</v>
      </c>
      <c r="O53">
        <v>3</v>
      </c>
    </row>
    <row r="54" spans="1:15" x14ac:dyDescent="0.35">
      <c r="A54">
        <v>53</v>
      </c>
      <c r="B54" t="str">
        <f t="shared" ca="1" si="0"/>
        <v>Female</v>
      </c>
      <c r="C54" t="str">
        <f t="shared" ca="1" si="1"/>
        <v>46+</v>
      </c>
      <c r="D54">
        <v>53</v>
      </c>
      <c r="E54">
        <v>43</v>
      </c>
      <c r="F54">
        <v>6</v>
      </c>
      <c r="G54" s="1">
        <v>46001</v>
      </c>
      <c r="M54">
        <v>68</v>
      </c>
      <c r="N54">
        <v>1</v>
      </c>
      <c r="O54">
        <v>1</v>
      </c>
    </row>
    <row r="55" spans="1:15" x14ac:dyDescent="0.35">
      <c r="A55">
        <v>54</v>
      </c>
      <c r="B55" t="str">
        <f t="shared" ca="1" si="0"/>
        <v>Male</v>
      </c>
      <c r="C55" t="str">
        <f t="shared" ca="1" si="1"/>
        <v>46+</v>
      </c>
      <c r="D55">
        <v>54</v>
      </c>
      <c r="E55">
        <v>95</v>
      </c>
      <c r="F55">
        <v>10</v>
      </c>
      <c r="G55" s="1">
        <v>45773</v>
      </c>
      <c r="M55">
        <v>65</v>
      </c>
      <c r="N55">
        <v>13</v>
      </c>
      <c r="O55">
        <v>5</v>
      </c>
    </row>
    <row r="56" spans="1:15" x14ac:dyDescent="0.35">
      <c r="A56">
        <v>55</v>
      </c>
      <c r="B56" t="str">
        <f t="shared" ca="1" si="0"/>
        <v>Male</v>
      </c>
      <c r="C56" t="str">
        <f t="shared" ca="1" si="1"/>
        <v>18-25</v>
      </c>
      <c r="D56">
        <v>55</v>
      </c>
      <c r="E56">
        <v>34</v>
      </c>
      <c r="F56">
        <v>9</v>
      </c>
      <c r="G56" s="1">
        <v>45896</v>
      </c>
      <c r="M56">
        <v>74</v>
      </c>
      <c r="N56">
        <v>14</v>
      </c>
      <c r="O56">
        <v>3</v>
      </c>
    </row>
    <row r="57" spans="1:15" x14ac:dyDescent="0.35">
      <c r="A57">
        <v>56</v>
      </c>
      <c r="B57" t="str">
        <f t="shared" ca="1" si="0"/>
        <v>Female</v>
      </c>
      <c r="C57" t="str">
        <f t="shared" ca="1" si="1"/>
        <v>46+</v>
      </c>
      <c r="D57">
        <v>56</v>
      </c>
      <c r="E57">
        <v>38</v>
      </c>
      <c r="F57">
        <v>1</v>
      </c>
      <c r="G57" s="1">
        <v>45967</v>
      </c>
      <c r="M57">
        <v>143</v>
      </c>
      <c r="N57">
        <v>15</v>
      </c>
      <c r="O57">
        <v>4</v>
      </c>
    </row>
    <row r="58" spans="1:15" x14ac:dyDescent="0.35">
      <c r="A58">
        <v>57</v>
      </c>
      <c r="B58" t="str">
        <f t="shared" ca="1" si="0"/>
        <v>Female</v>
      </c>
      <c r="C58" t="str">
        <f t="shared" ca="1" si="1"/>
        <v>26-35</v>
      </c>
      <c r="D58">
        <v>57</v>
      </c>
      <c r="E58">
        <v>22</v>
      </c>
      <c r="F58">
        <v>7</v>
      </c>
      <c r="G58" s="1">
        <v>45857</v>
      </c>
      <c r="M58">
        <v>37</v>
      </c>
      <c r="N58">
        <v>12</v>
      </c>
      <c r="O58">
        <v>4</v>
      </c>
    </row>
    <row r="59" spans="1:15" x14ac:dyDescent="0.35">
      <c r="A59">
        <v>58</v>
      </c>
      <c r="B59" t="str">
        <f t="shared" ca="1" si="0"/>
        <v>Male</v>
      </c>
      <c r="C59" t="str">
        <f t="shared" ca="1" si="1"/>
        <v>18-25</v>
      </c>
      <c r="D59">
        <v>58</v>
      </c>
      <c r="E59">
        <v>19</v>
      </c>
      <c r="F59">
        <v>3</v>
      </c>
      <c r="G59" s="1">
        <v>45732</v>
      </c>
      <c r="M59">
        <v>120</v>
      </c>
      <c r="N59">
        <v>10</v>
      </c>
      <c r="O59">
        <v>3</v>
      </c>
    </row>
    <row r="60" spans="1:15" x14ac:dyDescent="0.35">
      <c r="A60">
        <v>59</v>
      </c>
      <c r="B60" t="str">
        <f t="shared" ca="1" si="0"/>
        <v>Female</v>
      </c>
      <c r="C60" t="str">
        <f t="shared" ca="1" si="1"/>
        <v>26-35</v>
      </c>
      <c r="D60">
        <v>59</v>
      </c>
      <c r="E60">
        <v>43</v>
      </c>
      <c r="F60">
        <v>7</v>
      </c>
      <c r="G60" s="1">
        <v>45886</v>
      </c>
      <c r="M60">
        <v>110</v>
      </c>
      <c r="N60">
        <v>24</v>
      </c>
      <c r="O60">
        <v>5</v>
      </c>
    </row>
    <row r="61" spans="1:15" x14ac:dyDescent="0.35">
      <c r="A61">
        <v>60</v>
      </c>
      <c r="B61" t="str">
        <f t="shared" ca="1" si="0"/>
        <v>Male</v>
      </c>
      <c r="C61" t="str">
        <f t="shared" ca="1" si="1"/>
        <v>36-45</v>
      </c>
      <c r="D61">
        <v>60</v>
      </c>
      <c r="E61">
        <v>95</v>
      </c>
      <c r="F61">
        <v>2</v>
      </c>
      <c r="G61" s="1">
        <v>45893</v>
      </c>
      <c r="M61">
        <v>110</v>
      </c>
      <c r="N61">
        <v>3</v>
      </c>
      <c r="O61">
        <v>2</v>
      </c>
    </row>
    <row r="62" spans="1:15" x14ac:dyDescent="0.35">
      <c r="A62">
        <v>61</v>
      </c>
      <c r="B62" t="str">
        <f t="shared" ca="1" si="0"/>
        <v>Female</v>
      </c>
      <c r="C62" t="str">
        <f t="shared" ca="1" si="1"/>
        <v>18-25</v>
      </c>
      <c r="D62">
        <v>61</v>
      </c>
      <c r="E62">
        <v>26</v>
      </c>
      <c r="F62">
        <v>2</v>
      </c>
      <c r="G62" s="1">
        <v>45710</v>
      </c>
      <c r="M62">
        <v>153</v>
      </c>
      <c r="N62">
        <v>14</v>
      </c>
      <c r="O62">
        <v>3</v>
      </c>
    </row>
    <row r="63" spans="1:15" x14ac:dyDescent="0.35">
      <c r="A63">
        <v>62</v>
      </c>
      <c r="B63" t="str">
        <f t="shared" ca="1" si="0"/>
        <v>Female</v>
      </c>
      <c r="C63" t="str">
        <f t="shared" ca="1" si="1"/>
        <v>36-45</v>
      </c>
      <c r="D63">
        <v>62</v>
      </c>
      <c r="E63">
        <v>83</v>
      </c>
      <c r="F63">
        <v>2</v>
      </c>
      <c r="G63" s="1">
        <v>45871</v>
      </c>
      <c r="M63">
        <v>121</v>
      </c>
      <c r="N63">
        <v>1</v>
      </c>
      <c r="O63">
        <v>3</v>
      </c>
    </row>
    <row r="64" spans="1:15" x14ac:dyDescent="0.35">
      <c r="A64">
        <v>63</v>
      </c>
      <c r="B64" t="str">
        <f t="shared" ca="1" si="0"/>
        <v>Female</v>
      </c>
      <c r="C64" t="str">
        <f t="shared" ca="1" si="1"/>
        <v>46+</v>
      </c>
      <c r="D64">
        <v>63</v>
      </c>
      <c r="E64">
        <v>41</v>
      </c>
      <c r="F64">
        <v>10</v>
      </c>
      <c r="G64" s="1">
        <v>45943</v>
      </c>
      <c r="M64">
        <v>62</v>
      </c>
      <c r="N64">
        <v>22</v>
      </c>
      <c r="O64">
        <v>4</v>
      </c>
    </row>
    <row r="65" spans="1:15" x14ac:dyDescent="0.35">
      <c r="A65">
        <v>64</v>
      </c>
      <c r="B65" t="str">
        <f t="shared" ca="1" si="0"/>
        <v>Male</v>
      </c>
      <c r="C65" t="str">
        <f t="shared" ca="1" si="1"/>
        <v>46+</v>
      </c>
      <c r="D65">
        <v>64</v>
      </c>
      <c r="E65">
        <v>58</v>
      </c>
      <c r="F65">
        <v>9</v>
      </c>
      <c r="G65" s="1">
        <v>45905</v>
      </c>
      <c r="M65">
        <v>44</v>
      </c>
      <c r="N65">
        <v>18</v>
      </c>
      <c r="O65">
        <v>2</v>
      </c>
    </row>
    <row r="66" spans="1:15" x14ac:dyDescent="0.35">
      <c r="A66">
        <v>65</v>
      </c>
      <c r="B66" t="str">
        <f t="shared" ca="1" si="0"/>
        <v>Female</v>
      </c>
      <c r="C66" t="str">
        <f t="shared" ca="1" si="1"/>
        <v>26-35</v>
      </c>
      <c r="D66">
        <v>65</v>
      </c>
      <c r="E66">
        <v>93</v>
      </c>
      <c r="F66">
        <v>6</v>
      </c>
      <c r="G66" s="1">
        <v>45748</v>
      </c>
      <c r="M66">
        <v>183</v>
      </c>
      <c r="N66">
        <v>3</v>
      </c>
      <c r="O66">
        <v>4</v>
      </c>
    </row>
    <row r="67" spans="1:15" x14ac:dyDescent="0.35">
      <c r="A67">
        <v>66</v>
      </c>
      <c r="B67" t="str">
        <f t="shared" ref="B67:B101" ca="1" si="2">IF(RANDBETWEEN(0,1)=0,"Male","Female")</f>
        <v>Male</v>
      </c>
      <c r="C67" t="str">
        <f t="shared" ref="C67:C101" ca="1" si="3">CHOOSE(RANDBETWEEN(1,4),"18-25","26-35","36-45","46+")</f>
        <v>46+</v>
      </c>
      <c r="D67">
        <v>66</v>
      </c>
      <c r="E67">
        <v>72</v>
      </c>
      <c r="F67">
        <v>4</v>
      </c>
      <c r="G67" s="1">
        <v>45910</v>
      </c>
      <c r="M67">
        <v>6</v>
      </c>
      <c r="N67">
        <v>24</v>
      </c>
      <c r="O67">
        <v>2</v>
      </c>
    </row>
    <row r="68" spans="1:15" x14ac:dyDescent="0.35">
      <c r="A68">
        <v>67</v>
      </c>
      <c r="B68" t="str">
        <f t="shared" ca="1" si="2"/>
        <v>Male</v>
      </c>
      <c r="C68" t="str">
        <f t="shared" ca="1" si="3"/>
        <v>26-35</v>
      </c>
      <c r="D68">
        <v>67</v>
      </c>
      <c r="E68">
        <v>41</v>
      </c>
      <c r="F68">
        <v>3</v>
      </c>
      <c r="G68" s="1">
        <v>45814</v>
      </c>
      <c r="M68">
        <v>140</v>
      </c>
      <c r="N68">
        <v>24</v>
      </c>
      <c r="O68">
        <v>5</v>
      </c>
    </row>
    <row r="69" spans="1:15" x14ac:dyDescent="0.35">
      <c r="A69">
        <v>68</v>
      </c>
      <c r="B69" t="str">
        <f t="shared" ca="1" si="2"/>
        <v>Female</v>
      </c>
      <c r="C69" t="str">
        <f t="shared" ca="1" si="3"/>
        <v>36-45</v>
      </c>
      <c r="D69">
        <v>68</v>
      </c>
      <c r="E69">
        <v>65</v>
      </c>
      <c r="F69">
        <v>5</v>
      </c>
      <c r="G69" s="1">
        <v>45846</v>
      </c>
      <c r="M69">
        <v>13</v>
      </c>
      <c r="N69">
        <v>6</v>
      </c>
      <c r="O69">
        <v>4</v>
      </c>
    </row>
    <row r="70" spans="1:15" x14ac:dyDescent="0.35">
      <c r="A70">
        <v>69</v>
      </c>
      <c r="B70" t="str">
        <f t="shared" ca="1" si="2"/>
        <v>Male</v>
      </c>
      <c r="C70" t="str">
        <f t="shared" ca="1" si="3"/>
        <v>36-45</v>
      </c>
      <c r="D70">
        <v>69</v>
      </c>
      <c r="E70">
        <v>43</v>
      </c>
      <c r="F70">
        <v>9</v>
      </c>
      <c r="G70" s="1">
        <v>45804</v>
      </c>
      <c r="M70">
        <v>94</v>
      </c>
      <c r="N70">
        <v>6</v>
      </c>
      <c r="O70">
        <v>5</v>
      </c>
    </row>
    <row r="71" spans="1:15" x14ac:dyDescent="0.35">
      <c r="A71">
        <v>70</v>
      </c>
      <c r="B71" t="str">
        <f t="shared" ca="1" si="2"/>
        <v>Male</v>
      </c>
      <c r="C71" t="str">
        <f t="shared" ca="1" si="3"/>
        <v>36-45</v>
      </c>
      <c r="D71">
        <v>70</v>
      </c>
      <c r="E71">
        <v>4</v>
      </c>
      <c r="F71">
        <v>1</v>
      </c>
      <c r="G71" s="1">
        <v>45797</v>
      </c>
      <c r="M71">
        <v>102</v>
      </c>
      <c r="N71">
        <v>8</v>
      </c>
      <c r="O71">
        <v>3</v>
      </c>
    </row>
    <row r="72" spans="1:15" x14ac:dyDescent="0.35">
      <c r="A72">
        <v>71</v>
      </c>
      <c r="B72" t="str">
        <f t="shared" ca="1" si="2"/>
        <v>Male</v>
      </c>
      <c r="C72" t="str">
        <f t="shared" ca="1" si="3"/>
        <v>36-45</v>
      </c>
      <c r="D72">
        <v>71</v>
      </c>
      <c r="E72">
        <v>84</v>
      </c>
      <c r="F72">
        <v>1</v>
      </c>
      <c r="G72" s="1">
        <v>45815</v>
      </c>
      <c r="M72">
        <v>17</v>
      </c>
      <c r="N72">
        <v>9</v>
      </c>
      <c r="O72">
        <v>3</v>
      </c>
    </row>
    <row r="73" spans="1:15" x14ac:dyDescent="0.35">
      <c r="A73">
        <v>72</v>
      </c>
      <c r="B73" t="str">
        <f t="shared" ca="1" si="2"/>
        <v>Female</v>
      </c>
      <c r="C73" t="str">
        <f t="shared" ca="1" si="3"/>
        <v>26-35</v>
      </c>
      <c r="D73">
        <v>72</v>
      </c>
      <c r="E73">
        <v>84</v>
      </c>
      <c r="F73">
        <v>9</v>
      </c>
      <c r="G73" s="1">
        <v>45962</v>
      </c>
      <c r="M73">
        <v>51</v>
      </c>
      <c r="N73">
        <v>3</v>
      </c>
      <c r="O73">
        <v>5</v>
      </c>
    </row>
    <row r="74" spans="1:15" x14ac:dyDescent="0.35">
      <c r="A74">
        <v>73</v>
      </c>
      <c r="B74" t="str">
        <f t="shared" ca="1" si="2"/>
        <v>Female</v>
      </c>
      <c r="C74" t="str">
        <f t="shared" ca="1" si="3"/>
        <v>18-25</v>
      </c>
      <c r="D74">
        <v>73</v>
      </c>
      <c r="E74">
        <v>89</v>
      </c>
      <c r="F74">
        <v>1</v>
      </c>
      <c r="G74" s="1">
        <v>45779</v>
      </c>
      <c r="M74">
        <v>2</v>
      </c>
      <c r="N74">
        <v>8</v>
      </c>
      <c r="O74">
        <v>4</v>
      </c>
    </row>
    <row r="75" spans="1:15" x14ac:dyDescent="0.35">
      <c r="A75">
        <v>74</v>
      </c>
      <c r="B75" t="str">
        <f t="shared" ca="1" si="2"/>
        <v>Female</v>
      </c>
      <c r="C75" t="str">
        <f t="shared" ca="1" si="3"/>
        <v>36-45</v>
      </c>
      <c r="D75">
        <v>74</v>
      </c>
      <c r="E75">
        <v>55</v>
      </c>
      <c r="F75">
        <v>6</v>
      </c>
      <c r="G75" s="1">
        <v>45733</v>
      </c>
      <c r="M75">
        <v>104</v>
      </c>
      <c r="N75">
        <v>14</v>
      </c>
      <c r="O75">
        <v>1</v>
      </c>
    </row>
    <row r="76" spans="1:15" x14ac:dyDescent="0.35">
      <c r="A76">
        <v>75</v>
      </c>
      <c r="B76" t="str">
        <f t="shared" ca="1" si="2"/>
        <v>Female</v>
      </c>
      <c r="C76" t="str">
        <f t="shared" ca="1" si="3"/>
        <v>26-35</v>
      </c>
      <c r="D76">
        <v>75</v>
      </c>
      <c r="E76">
        <v>58</v>
      </c>
      <c r="F76">
        <v>3</v>
      </c>
      <c r="G76" s="1">
        <v>45932</v>
      </c>
      <c r="M76">
        <v>2</v>
      </c>
      <c r="N76">
        <v>21</v>
      </c>
      <c r="O76">
        <v>5</v>
      </c>
    </row>
    <row r="77" spans="1:15" x14ac:dyDescent="0.35">
      <c r="A77">
        <v>76</v>
      </c>
      <c r="B77" t="str">
        <f t="shared" ca="1" si="2"/>
        <v>Female</v>
      </c>
      <c r="C77" t="str">
        <f t="shared" ca="1" si="3"/>
        <v>36-45</v>
      </c>
      <c r="D77">
        <v>76</v>
      </c>
      <c r="E77">
        <v>22</v>
      </c>
      <c r="F77">
        <v>6</v>
      </c>
      <c r="G77" s="1">
        <v>45689</v>
      </c>
      <c r="M77">
        <v>80</v>
      </c>
      <c r="N77">
        <v>20</v>
      </c>
      <c r="O77">
        <v>1</v>
      </c>
    </row>
    <row r="78" spans="1:15" x14ac:dyDescent="0.35">
      <c r="A78">
        <v>77</v>
      </c>
      <c r="B78" t="str">
        <f t="shared" ca="1" si="2"/>
        <v>Male</v>
      </c>
      <c r="C78" t="str">
        <f t="shared" ca="1" si="3"/>
        <v>36-45</v>
      </c>
      <c r="D78">
        <v>77</v>
      </c>
      <c r="E78">
        <v>93</v>
      </c>
      <c r="F78">
        <v>7</v>
      </c>
      <c r="G78" s="1">
        <v>45911</v>
      </c>
      <c r="M78">
        <v>18</v>
      </c>
      <c r="N78">
        <v>12</v>
      </c>
      <c r="O78">
        <v>1</v>
      </c>
    </row>
    <row r="79" spans="1:15" x14ac:dyDescent="0.35">
      <c r="A79">
        <v>78</v>
      </c>
      <c r="B79" t="str">
        <f t="shared" ca="1" si="2"/>
        <v>Male</v>
      </c>
      <c r="C79" t="str">
        <f t="shared" ca="1" si="3"/>
        <v>36-45</v>
      </c>
      <c r="D79">
        <v>78</v>
      </c>
      <c r="E79">
        <v>93</v>
      </c>
      <c r="F79">
        <v>8</v>
      </c>
      <c r="G79" s="1">
        <v>45956</v>
      </c>
      <c r="M79">
        <v>186</v>
      </c>
      <c r="N79">
        <v>20</v>
      </c>
      <c r="O79">
        <v>5</v>
      </c>
    </row>
    <row r="80" spans="1:15" x14ac:dyDescent="0.35">
      <c r="A80">
        <v>79</v>
      </c>
      <c r="B80" t="str">
        <f t="shared" ca="1" si="2"/>
        <v>Male</v>
      </c>
      <c r="C80" t="str">
        <f t="shared" ca="1" si="3"/>
        <v>26-35</v>
      </c>
      <c r="D80">
        <v>79</v>
      </c>
      <c r="E80">
        <v>81</v>
      </c>
      <c r="F80">
        <v>10</v>
      </c>
      <c r="G80" s="1">
        <v>45670</v>
      </c>
      <c r="M80">
        <v>140</v>
      </c>
      <c r="N80">
        <v>25</v>
      </c>
      <c r="O80">
        <v>2</v>
      </c>
    </row>
    <row r="81" spans="1:15" x14ac:dyDescent="0.35">
      <c r="A81">
        <v>80</v>
      </c>
      <c r="B81" t="str">
        <f t="shared" ca="1" si="2"/>
        <v>Male</v>
      </c>
      <c r="C81" t="str">
        <f t="shared" ca="1" si="3"/>
        <v>46+</v>
      </c>
      <c r="D81">
        <v>80</v>
      </c>
      <c r="E81">
        <v>34</v>
      </c>
      <c r="F81">
        <v>10</v>
      </c>
      <c r="G81" s="1">
        <v>45730</v>
      </c>
      <c r="M81">
        <v>183</v>
      </c>
      <c r="N81">
        <v>12</v>
      </c>
      <c r="O81">
        <v>1</v>
      </c>
    </row>
    <row r="82" spans="1:15" x14ac:dyDescent="0.35">
      <c r="A82">
        <v>81</v>
      </c>
      <c r="B82" t="str">
        <f t="shared" ca="1" si="2"/>
        <v>Male</v>
      </c>
      <c r="C82" t="str">
        <f t="shared" ca="1" si="3"/>
        <v>36-45</v>
      </c>
      <c r="D82">
        <v>81</v>
      </c>
      <c r="E82">
        <v>34</v>
      </c>
      <c r="F82">
        <v>9</v>
      </c>
      <c r="G82" s="1">
        <v>45771</v>
      </c>
      <c r="M82">
        <v>39</v>
      </c>
      <c r="N82">
        <v>14</v>
      </c>
      <c r="O82">
        <v>4</v>
      </c>
    </row>
    <row r="83" spans="1:15" x14ac:dyDescent="0.35">
      <c r="A83">
        <v>82</v>
      </c>
      <c r="B83" t="str">
        <f t="shared" ca="1" si="2"/>
        <v>Female</v>
      </c>
      <c r="C83" t="str">
        <f t="shared" ca="1" si="3"/>
        <v>36-45</v>
      </c>
      <c r="D83">
        <v>82</v>
      </c>
      <c r="E83">
        <v>3</v>
      </c>
      <c r="F83">
        <v>7</v>
      </c>
      <c r="G83" s="1">
        <v>45731</v>
      </c>
      <c r="M83">
        <v>143</v>
      </c>
      <c r="N83">
        <v>6</v>
      </c>
      <c r="O83">
        <v>1</v>
      </c>
    </row>
    <row r="84" spans="1:15" x14ac:dyDescent="0.35">
      <c r="A84">
        <v>83</v>
      </c>
      <c r="B84" t="str">
        <f t="shared" ca="1" si="2"/>
        <v>Female</v>
      </c>
      <c r="C84" t="str">
        <f t="shared" ca="1" si="3"/>
        <v>18-25</v>
      </c>
      <c r="D84">
        <v>83</v>
      </c>
      <c r="E84">
        <v>33</v>
      </c>
      <c r="F84">
        <v>9</v>
      </c>
      <c r="G84" s="1">
        <v>45734</v>
      </c>
      <c r="M84">
        <v>127</v>
      </c>
      <c r="N84">
        <v>5</v>
      </c>
      <c r="O84">
        <v>3</v>
      </c>
    </row>
    <row r="85" spans="1:15" x14ac:dyDescent="0.35">
      <c r="A85">
        <v>84</v>
      </c>
      <c r="B85" t="str">
        <f t="shared" ca="1" si="2"/>
        <v>Female</v>
      </c>
      <c r="C85" t="str">
        <f t="shared" ca="1" si="3"/>
        <v>46+</v>
      </c>
      <c r="D85">
        <v>84</v>
      </c>
      <c r="E85">
        <v>12</v>
      </c>
      <c r="F85">
        <v>3</v>
      </c>
      <c r="G85" s="1">
        <v>45764</v>
      </c>
      <c r="M85">
        <v>20</v>
      </c>
      <c r="N85">
        <v>8</v>
      </c>
      <c r="O85">
        <v>5</v>
      </c>
    </row>
    <row r="86" spans="1:15" x14ac:dyDescent="0.35">
      <c r="A86">
        <v>85</v>
      </c>
      <c r="B86" t="str">
        <f t="shared" ca="1" si="2"/>
        <v>Female</v>
      </c>
      <c r="C86" t="str">
        <f t="shared" ca="1" si="3"/>
        <v>18-25</v>
      </c>
      <c r="D86">
        <v>85</v>
      </c>
      <c r="E86">
        <v>63</v>
      </c>
      <c r="F86">
        <v>10</v>
      </c>
      <c r="G86" s="1">
        <v>45721</v>
      </c>
      <c r="M86">
        <v>47</v>
      </c>
      <c r="N86">
        <v>14</v>
      </c>
      <c r="O86">
        <v>3</v>
      </c>
    </row>
    <row r="87" spans="1:15" x14ac:dyDescent="0.35">
      <c r="A87">
        <v>86</v>
      </c>
      <c r="B87" t="str">
        <f t="shared" ca="1" si="2"/>
        <v>Female</v>
      </c>
      <c r="C87" t="str">
        <f t="shared" ca="1" si="3"/>
        <v>46+</v>
      </c>
      <c r="D87">
        <v>86</v>
      </c>
      <c r="E87">
        <v>95</v>
      </c>
      <c r="F87">
        <v>9</v>
      </c>
      <c r="G87" s="1">
        <v>45962</v>
      </c>
      <c r="M87">
        <v>133</v>
      </c>
      <c r="N87">
        <v>18</v>
      </c>
      <c r="O87">
        <v>1</v>
      </c>
    </row>
    <row r="88" spans="1:15" x14ac:dyDescent="0.35">
      <c r="A88">
        <v>87</v>
      </c>
      <c r="B88" t="str">
        <f t="shared" ca="1" si="2"/>
        <v>Male</v>
      </c>
      <c r="C88" t="str">
        <f t="shared" ca="1" si="3"/>
        <v>46+</v>
      </c>
      <c r="D88">
        <v>87</v>
      </c>
      <c r="E88">
        <v>32</v>
      </c>
      <c r="F88">
        <v>10</v>
      </c>
      <c r="G88" s="1">
        <v>45948</v>
      </c>
      <c r="M88">
        <v>47</v>
      </c>
      <c r="N88">
        <v>1</v>
      </c>
      <c r="O88">
        <v>1</v>
      </c>
    </row>
    <row r="89" spans="1:15" x14ac:dyDescent="0.35">
      <c r="A89">
        <v>88</v>
      </c>
      <c r="B89" t="str">
        <f t="shared" ca="1" si="2"/>
        <v>Female</v>
      </c>
      <c r="C89" t="str">
        <f t="shared" ca="1" si="3"/>
        <v>18-25</v>
      </c>
      <c r="D89">
        <v>88</v>
      </c>
      <c r="E89">
        <v>83</v>
      </c>
      <c r="F89">
        <v>8</v>
      </c>
      <c r="G89" s="1">
        <v>45916</v>
      </c>
      <c r="M89">
        <v>107</v>
      </c>
      <c r="N89">
        <v>18</v>
      </c>
      <c r="O89">
        <v>1</v>
      </c>
    </row>
    <row r="90" spans="1:15" x14ac:dyDescent="0.35">
      <c r="A90">
        <v>89</v>
      </c>
      <c r="B90" t="str">
        <f t="shared" ca="1" si="2"/>
        <v>Female</v>
      </c>
      <c r="C90" t="str">
        <f t="shared" ca="1" si="3"/>
        <v>18-25</v>
      </c>
      <c r="D90">
        <v>89</v>
      </c>
      <c r="E90">
        <v>38</v>
      </c>
      <c r="F90">
        <v>8</v>
      </c>
      <c r="G90" s="1">
        <v>45771</v>
      </c>
      <c r="M90">
        <v>189</v>
      </c>
      <c r="N90">
        <v>20</v>
      </c>
      <c r="O90">
        <v>3</v>
      </c>
    </row>
    <row r="91" spans="1:15" x14ac:dyDescent="0.35">
      <c r="A91">
        <v>90</v>
      </c>
      <c r="B91" t="str">
        <f t="shared" ca="1" si="2"/>
        <v>Female</v>
      </c>
      <c r="C91" t="str">
        <f t="shared" ca="1" si="3"/>
        <v>26-35</v>
      </c>
      <c r="D91">
        <v>90</v>
      </c>
      <c r="E91">
        <v>4</v>
      </c>
      <c r="F91">
        <v>2</v>
      </c>
      <c r="G91" s="1">
        <v>45997</v>
      </c>
      <c r="M91">
        <v>170</v>
      </c>
      <c r="N91">
        <v>9</v>
      </c>
      <c r="O91">
        <v>5</v>
      </c>
    </row>
    <row r="92" spans="1:15" x14ac:dyDescent="0.35">
      <c r="A92">
        <v>91</v>
      </c>
      <c r="B92" t="str">
        <f t="shared" ca="1" si="2"/>
        <v>Male</v>
      </c>
      <c r="C92" t="str">
        <f t="shared" ca="1" si="3"/>
        <v>18-25</v>
      </c>
      <c r="D92">
        <v>91</v>
      </c>
      <c r="E92">
        <v>3</v>
      </c>
      <c r="F92">
        <v>9</v>
      </c>
      <c r="G92" s="1">
        <v>45716</v>
      </c>
      <c r="M92">
        <v>4</v>
      </c>
      <c r="N92">
        <v>16</v>
      </c>
      <c r="O92">
        <v>2</v>
      </c>
    </row>
    <row r="93" spans="1:15" x14ac:dyDescent="0.35">
      <c r="A93">
        <v>92</v>
      </c>
      <c r="B93" t="str">
        <f t="shared" ca="1" si="2"/>
        <v>Male</v>
      </c>
      <c r="C93" t="str">
        <f t="shared" ca="1" si="3"/>
        <v>26-35</v>
      </c>
      <c r="D93">
        <v>92</v>
      </c>
      <c r="E93">
        <v>20</v>
      </c>
      <c r="F93">
        <v>5</v>
      </c>
      <c r="G93" s="1">
        <v>45950</v>
      </c>
      <c r="M93">
        <v>142</v>
      </c>
      <c r="N93">
        <v>10</v>
      </c>
      <c r="O93">
        <v>4</v>
      </c>
    </row>
    <row r="94" spans="1:15" x14ac:dyDescent="0.35">
      <c r="A94">
        <v>93</v>
      </c>
      <c r="B94" t="str">
        <f t="shared" ca="1" si="2"/>
        <v>Male</v>
      </c>
      <c r="C94" t="str">
        <f t="shared" ca="1" si="3"/>
        <v>26-35</v>
      </c>
      <c r="D94">
        <v>93</v>
      </c>
      <c r="E94">
        <v>34</v>
      </c>
      <c r="F94">
        <v>1</v>
      </c>
      <c r="G94" s="1">
        <v>45931</v>
      </c>
      <c r="M94">
        <v>168</v>
      </c>
      <c r="N94">
        <v>24</v>
      </c>
      <c r="O94">
        <v>3</v>
      </c>
    </row>
    <row r="95" spans="1:15" x14ac:dyDescent="0.35">
      <c r="A95">
        <v>94</v>
      </c>
      <c r="B95" t="str">
        <f t="shared" ca="1" si="2"/>
        <v>Male</v>
      </c>
      <c r="C95" t="str">
        <f t="shared" ca="1" si="3"/>
        <v>26-35</v>
      </c>
      <c r="D95">
        <v>94</v>
      </c>
      <c r="E95">
        <v>67</v>
      </c>
      <c r="F95">
        <v>10</v>
      </c>
      <c r="G95" s="1">
        <v>45943</v>
      </c>
      <c r="M95">
        <v>164</v>
      </c>
      <c r="N95">
        <v>12</v>
      </c>
      <c r="O95">
        <v>3</v>
      </c>
    </row>
    <row r="96" spans="1:15" x14ac:dyDescent="0.35">
      <c r="A96">
        <v>95</v>
      </c>
      <c r="B96" t="str">
        <f t="shared" ca="1" si="2"/>
        <v>Male</v>
      </c>
      <c r="C96" t="str">
        <f t="shared" ca="1" si="3"/>
        <v>26-35</v>
      </c>
      <c r="D96">
        <v>95</v>
      </c>
      <c r="E96">
        <v>66</v>
      </c>
      <c r="F96">
        <v>4</v>
      </c>
      <c r="G96" s="1">
        <v>45892</v>
      </c>
      <c r="M96">
        <v>28</v>
      </c>
      <c r="N96">
        <v>9</v>
      </c>
      <c r="O96">
        <v>5</v>
      </c>
    </row>
    <row r="97" spans="1:15" x14ac:dyDescent="0.35">
      <c r="A97">
        <v>96</v>
      </c>
      <c r="B97" t="str">
        <f t="shared" ca="1" si="2"/>
        <v>Female</v>
      </c>
      <c r="C97" t="str">
        <f t="shared" ca="1" si="3"/>
        <v>36-45</v>
      </c>
      <c r="D97">
        <v>96</v>
      </c>
      <c r="E97">
        <v>90</v>
      </c>
      <c r="F97">
        <v>2</v>
      </c>
      <c r="G97" s="1">
        <v>45672</v>
      </c>
      <c r="M97">
        <v>151</v>
      </c>
      <c r="N97">
        <v>15</v>
      </c>
      <c r="O97">
        <v>1</v>
      </c>
    </row>
    <row r="98" spans="1:15" x14ac:dyDescent="0.35">
      <c r="A98">
        <v>97</v>
      </c>
      <c r="B98" t="str">
        <f t="shared" ca="1" si="2"/>
        <v>Male</v>
      </c>
      <c r="C98" t="str">
        <f t="shared" ca="1" si="3"/>
        <v>18-25</v>
      </c>
      <c r="D98">
        <v>97</v>
      </c>
      <c r="E98">
        <v>72</v>
      </c>
      <c r="F98">
        <v>6</v>
      </c>
      <c r="G98" s="1">
        <v>45796</v>
      </c>
      <c r="M98">
        <v>199</v>
      </c>
      <c r="N98">
        <v>22</v>
      </c>
      <c r="O98">
        <v>5</v>
      </c>
    </row>
    <row r="99" spans="1:15" x14ac:dyDescent="0.35">
      <c r="A99">
        <v>98</v>
      </c>
      <c r="B99" t="str">
        <f t="shared" ca="1" si="2"/>
        <v>Female</v>
      </c>
      <c r="C99" t="str">
        <f t="shared" ca="1" si="3"/>
        <v>26-35</v>
      </c>
      <c r="D99">
        <v>98</v>
      </c>
      <c r="E99">
        <v>8</v>
      </c>
      <c r="F99">
        <v>7</v>
      </c>
      <c r="G99" s="1">
        <v>45909</v>
      </c>
      <c r="M99">
        <v>46</v>
      </c>
      <c r="N99">
        <v>10</v>
      </c>
      <c r="O99">
        <v>5</v>
      </c>
    </row>
    <row r="100" spans="1:15" x14ac:dyDescent="0.35">
      <c r="A100">
        <v>99</v>
      </c>
      <c r="B100" t="str">
        <f t="shared" ca="1" si="2"/>
        <v>Female</v>
      </c>
      <c r="C100" t="str">
        <f t="shared" ca="1" si="3"/>
        <v>18-25</v>
      </c>
      <c r="D100">
        <v>99</v>
      </c>
      <c r="E100">
        <v>82</v>
      </c>
      <c r="F100">
        <v>2</v>
      </c>
      <c r="G100" s="1">
        <v>45681</v>
      </c>
      <c r="M100">
        <v>156</v>
      </c>
      <c r="N100">
        <v>3</v>
      </c>
      <c r="O100">
        <v>4</v>
      </c>
    </row>
    <row r="101" spans="1:15" x14ac:dyDescent="0.35">
      <c r="A101">
        <v>100</v>
      </c>
      <c r="B101" t="str">
        <f t="shared" ca="1" si="2"/>
        <v>Female</v>
      </c>
      <c r="C101" t="str">
        <f t="shared" ca="1" si="3"/>
        <v>26-35</v>
      </c>
      <c r="D101">
        <v>100</v>
      </c>
      <c r="E101">
        <v>90</v>
      </c>
      <c r="F101">
        <v>6</v>
      </c>
      <c r="G101" s="1">
        <v>45968</v>
      </c>
      <c r="M101">
        <v>177</v>
      </c>
      <c r="N101">
        <v>9</v>
      </c>
      <c r="O101">
        <v>1</v>
      </c>
    </row>
    <row r="102" spans="1:15" x14ac:dyDescent="0.35">
      <c r="D102">
        <v>101</v>
      </c>
      <c r="E102">
        <v>35</v>
      </c>
      <c r="F102">
        <v>9</v>
      </c>
      <c r="G102" s="1">
        <v>46002</v>
      </c>
      <c r="M102">
        <v>95</v>
      </c>
      <c r="N102">
        <v>6</v>
      </c>
      <c r="O102">
        <v>2</v>
      </c>
    </row>
    <row r="103" spans="1:15" x14ac:dyDescent="0.35">
      <c r="D103">
        <v>102</v>
      </c>
      <c r="E103">
        <v>3</v>
      </c>
      <c r="F103">
        <v>2</v>
      </c>
      <c r="G103" s="1">
        <v>45702</v>
      </c>
      <c r="M103">
        <v>149</v>
      </c>
      <c r="N103">
        <v>3</v>
      </c>
      <c r="O103">
        <v>3</v>
      </c>
    </row>
    <row r="104" spans="1:15" x14ac:dyDescent="0.35">
      <c r="D104">
        <v>103</v>
      </c>
      <c r="E104">
        <v>1</v>
      </c>
      <c r="F104">
        <v>3</v>
      </c>
      <c r="G104" s="1">
        <v>45965</v>
      </c>
      <c r="M104">
        <v>85</v>
      </c>
      <c r="N104">
        <v>8</v>
      </c>
      <c r="O104">
        <v>5</v>
      </c>
    </row>
    <row r="105" spans="1:15" x14ac:dyDescent="0.35">
      <c r="D105">
        <v>104</v>
      </c>
      <c r="E105">
        <v>90</v>
      </c>
      <c r="F105">
        <v>10</v>
      </c>
      <c r="G105" s="1">
        <v>45918</v>
      </c>
      <c r="M105">
        <v>60</v>
      </c>
      <c r="N105">
        <v>14</v>
      </c>
      <c r="O105">
        <v>3</v>
      </c>
    </row>
    <row r="106" spans="1:15" x14ac:dyDescent="0.35">
      <c r="D106">
        <v>105</v>
      </c>
      <c r="E106">
        <v>93</v>
      </c>
      <c r="F106">
        <v>3</v>
      </c>
      <c r="G106" s="1">
        <v>45676</v>
      </c>
      <c r="M106">
        <v>113</v>
      </c>
      <c r="N106">
        <v>14</v>
      </c>
      <c r="O106">
        <v>5</v>
      </c>
    </row>
    <row r="107" spans="1:15" x14ac:dyDescent="0.35">
      <c r="D107">
        <v>106</v>
      </c>
      <c r="E107">
        <v>42</v>
      </c>
      <c r="F107">
        <v>6</v>
      </c>
      <c r="G107" s="1">
        <v>45673</v>
      </c>
      <c r="M107">
        <v>92</v>
      </c>
      <c r="N107">
        <v>15</v>
      </c>
      <c r="O107">
        <v>1</v>
      </c>
    </row>
    <row r="108" spans="1:15" x14ac:dyDescent="0.35">
      <c r="D108">
        <v>107</v>
      </c>
      <c r="E108">
        <v>54</v>
      </c>
      <c r="F108">
        <v>9</v>
      </c>
      <c r="G108" s="1">
        <v>45911</v>
      </c>
      <c r="M108">
        <v>12</v>
      </c>
      <c r="N108">
        <v>18</v>
      </c>
      <c r="O108">
        <v>1</v>
      </c>
    </row>
    <row r="109" spans="1:15" x14ac:dyDescent="0.35">
      <c r="D109">
        <v>108</v>
      </c>
      <c r="E109">
        <v>71</v>
      </c>
      <c r="F109">
        <v>10</v>
      </c>
      <c r="G109" s="1">
        <v>45680</v>
      </c>
      <c r="M109">
        <v>70</v>
      </c>
      <c r="N109">
        <v>4</v>
      </c>
      <c r="O109">
        <v>5</v>
      </c>
    </row>
    <row r="110" spans="1:15" x14ac:dyDescent="0.35">
      <c r="D110">
        <v>109</v>
      </c>
      <c r="E110">
        <v>85</v>
      </c>
      <c r="F110">
        <v>2</v>
      </c>
      <c r="G110" s="1">
        <v>45722</v>
      </c>
      <c r="M110">
        <v>132</v>
      </c>
      <c r="N110">
        <v>8</v>
      </c>
      <c r="O110">
        <v>4</v>
      </c>
    </row>
    <row r="111" spans="1:15" x14ac:dyDescent="0.35">
      <c r="D111">
        <v>110</v>
      </c>
      <c r="E111">
        <v>85</v>
      </c>
      <c r="F111">
        <v>1</v>
      </c>
      <c r="G111" s="1">
        <v>45852</v>
      </c>
      <c r="M111">
        <v>194</v>
      </c>
      <c r="N111">
        <v>23</v>
      </c>
      <c r="O111">
        <v>2</v>
      </c>
    </row>
    <row r="112" spans="1:15" x14ac:dyDescent="0.35">
      <c r="D112">
        <v>111</v>
      </c>
      <c r="E112">
        <v>54</v>
      </c>
      <c r="F112">
        <v>10</v>
      </c>
      <c r="G112" s="1">
        <v>45987</v>
      </c>
      <c r="M112">
        <v>200</v>
      </c>
      <c r="N112">
        <v>4</v>
      </c>
      <c r="O112">
        <v>2</v>
      </c>
    </row>
    <row r="113" spans="4:15" x14ac:dyDescent="0.35">
      <c r="D113">
        <v>112</v>
      </c>
      <c r="E113">
        <v>87</v>
      </c>
      <c r="F113">
        <v>6</v>
      </c>
      <c r="G113" s="1">
        <v>45894</v>
      </c>
      <c r="M113">
        <v>25</v>
      </c>
      <c r="N113">
        <v>3</v>
      </c>
      <c r="O113">
        <v>5</v>
      </c>
    </row>
    <row r="114" spans="4:15" x14ac:dyDescent="0.35">
      <c r="D114">
        <v>113</v>
      </c>
      <c r="E114">
        <v>31</v>
      </c>
      <c r="F114">
        <v>1</v>
      </c>
      <c r="G114" s="1">
        <v>45811</v>
      </c>
      <c r="M114">
        <v>120</v>
      </c>
      <c r="N114">
        <v>16</v>
      </c>
      <c r="O114">
        <v>4</v>
      </c>
    </row>
    <row r="115" spans="4:15" x14ac:dyDescent="0.35">
      <c r="D115">
        <v>114</v>
      </c>
      <c r="E115">
        <v>49</v>
      </c>
      <c r="F115">
        <v>9</v>
      </c>
      <c r="G115" s="1">
        <v>45774</v>
      </c>
      <c r="M115">
        <v>197</v>
      </c>
      <c r="N115">
        <v>5</v>
      </c>
      <c r="O115">
        <v>5</v>
      </c>
    </row>
    <row r="116" spans="4:15" x14ac:dyDescent="0.35">
      <c r="D116">
        <v>115</v>
      </c>
      <c r="E116">
        <v>9</v>
      </c>
      <c r="F116">
        <v>10</v>
      </c>
      <c r="G116" s="1">
        <v>46004</v>
      </c>
      <c r="M116">
        <v>180</v>
      </c>
      <c r="N116">
        <v>24</v>
      </c>
      <c r="O116">
        <v>2</v>
      </c>
    </row>
    <row r="117" spans="4:15" x14ac:dyDescent="0.35">
      <c r="D117">
        <v>116</v>
      </c>
      <c r="E117">
        <v>5</v>
      </c>
      <c r="F117">
        <v>8</v>
      </c>
      <c r="G117" s="1">
        <v>46000</v>
      </c>
      <c r="M117">
        <v>97</v>
      </c>
      <c r="N117">
        <v>22</v>
      </c>
      <c r="O117">
        <v>4</v>
      </c>
    </row>
    <row r="118" spans="4:15" x14ac:dyDescent="0.35">
      <c r="D118">
        <v>117</v>
      </c>
      <c r="E118">
        <v>12</v>
      </c>
      <c r="F118">
        <v>9</v>
      </c>
      <c r="G118" s="1">
        <v>45680</v>
      </c>
      <c r="M118">
        <v>106</v>
      </c>
      <c r="N118">
        <v>7</v>
      </c>
      <c r="O118">
        <v>4</v>
      </c>
    </row>
    <row r="119" spans="4:15" x14ac:dyDescent="0.35">
      <c r="D119">
        <v>118</v>
      </c>
      <c r="E119">
        <v>51</v>
      </c>
      <c r="F119">
        <v>3</v>
      </c>
      <c r="G119" s="1">
        <v>45684</v>
      </c>
      <c r="M119">
        <v>177</v>
      </c>
      <c r="N119">
        <v>19</v>
      </c>
      <c r="O119">
        <v>1</v>
      </c>
    </row>
    <row r="120" spans="4:15" x14ac:dyDescent="0.35">
      <c r="D120">
        <v>119</v>
      </c>
      <c r="E120">
        <v>40</v>
      </c>
      <c r="F120">
        <v>8</v>
      </c>
      <c r="G120" s="1">
        <v>45734</v>
      </c>
      <c r="M120">
        <v>141</v>
      </c>
      <c r="N120">
        <v>12</v>
      </c>
      <c r="O120">
        <v>5</v>
      </c>
    </row>
    <row r="121" spans="4:15" x14ac:dyDescent="0.35">
      <c r="D121">
        <v>120</v>
      </c>
      <c r="E121">
        <v>27</v>
      </c>
      <c r="F121">
        <v>6</v>
      </c>
      <c r="G121" s="1">
        <v>45903</v>
      </c>
      <c r="M121">
        <v>80</v>
      </c>
      <c r="N121">
        <v>15</v>
      </c>
      <c r="O121">
        <v>5</v>
      </c>
    </row>
    <row r="122" spans="4:15" x14ac:dyDescent="0.35">
      <c r="D122">
        <v>121</v>
      </c>
      <c r="E122">
        <v>28</v>
      </c>
      <c r="F122">
        <v>9</v>
      </c>
      <c r="G122" s="1">
        <v>45910</v>
      </c>
      <c r="M122">
        <v>61</v>
      </c>
      <c r="N122">
        <v>25</v>
      </c>
      <c r="O122">
        <v>2</v>
      </c>
    </row>
    <row r="123" spans="4:15" x14ac:dyDescent="0.35">
      <c r="D123">
        <v>122</v>
      </c>
      <c r="E123">
        <v>51</v>
      </c>
      <c r="F123">
        <v>10</v>
      </c>
      <c r="G123" s="1">
        <v>45726</v>
      </c>
      <c r="M123">
        <v>168</v>
      </c>
      <c r="N123">
        <v>25</v>
      </c>
      <c r="O123">
        <v>5</v>
      </c>
    </row>
    <row r="124" spans="4:15" x14ac:dyDescent="0.35">
      <c r="D124">
        <v>123</v>
      </c>
      <c r="E124">
        <v>57</v>
      </c>
      <c r="F124">
        <v>6</v>
      </c>
      <c r="G124" s="1">
        <v>45841</v>
      </c>
      <c r="M124">
        <v>198</v>
      </c>
      <c r="N124">
        <v>24</v>
      </c>
      <c r="O124">
        <v>2</v>
      </c>
    </row>
    <row r="125" spans="4:15" x14ac:dyDescent="0.35">
      <c r="D125">
        <v>124</v>
      </c>
      <c r="E125">
        <v>24</v>
      </c>
      <c r="F125">
        <v>7</v>
      </c>
      <c r="G125" s="1">
        <v>45940</v>
      </c>
      <c r="M125">
        <v>26</v>
      </c>
      <c r="N125">
        <v>17</v>
      </c>
      <c r="O125">
        <v>2</v>
      </c>
    </row>
    <row r="126" spans="4:15" x14ac:dyDescent="0.35">
      <c r="D126">
        <v>125</v>
      </c>
      <c r="E126">
        <v>61</v>
      </c>
      <c r="F126">
        <v>5</v>
      </c>
      <c r="G126" s="1">
        <v>45874</v>
      </c>
      <c r="M126">
        <v>75</v>
      </c>
      <c r="N126">
        <v>9</v>
      </c>
      <c r="O126">
        <v>4</v>
      </c>
    </row>
    <row r="127" spans="4:15" x14ac:dyDescent="0.35">
      <c r="D127">
        <v>126</v>
      </c>
      <c r="E127">
        <v>53</v>
      </c>
      <c r="F127">
        <v>5</v>
      </c>
      <c r="G127" s="1">
        <v>45903</v>
      </c>
      <c r="M127">
        <v>92</v>
      </c>
      <c r="N127">
        <v>20</v>
      </c>
      <c r="O127">
        <v>1</v>
      </c>
    </row>
    <row r="128" spans="4:15" x14ac:dyDescent="0.35">
      <c r="D128">
        <v>127</v>
      </c>
      <c r="E128">
        <v>78</v>
      </c>
      <c r="F128">
        <v>8</v>
      </c>
      <c r="G128" s="1">
        <v>45893</v>
      </c>
      <c r="M128">
        <v>104</v>
      </c>
      <c r="N128">
        <v>20</v>
      </c>
      <c r="O128">
        <v>5</v>
      </c>
    </row>
    <row r="129" spans="4:15" x14ac:dyDescent="0.35">
      <c r="D129">
        <v>128</v>
      </c>
      <c r="E129">
        <v>42</v>
      </c>
      <c r="F129">
        <v>8</v>
      </c>
      <c r="G129" s="1">
        <v>45893</v>
      </c>
      <c r="M129">
        <v>167</v>
      </c>
      <c r="N129">
        <v>6</v>
      </c>
      <c r="O129">
        <v>4</v>
      </c>
    </row>
    <row r="130" spans="4:15" x14ac:dyDescent="0.35">
      <c r="D130">
        <v>129</v>
      </c>
      <c r="E130">
        <v>61</v>
      </c>
      <c r="F130">
        <v>3</v>
      </c>
      <c r="G130" s="1">
        <v>46013</v>
      </c>
      <c r="M130">
        <v>140</v>
      </c>
      <c r="N130">
        <v>4</v>
      </c>
      <c r="O130">
        <v>5</v>
      </c>
    </row>
    <row r="131" spans="4:15" x14ac:dyDescent="0.35">
      <c r="D131">
        <v>130</v>
      </c>
      <c r="E131">
        <v>47</v>
      </c>
      <c r="F131">
        <v>4</v>
      </c>
      <c r="G131" s="1">
        <v>46010</v>
      </c>
      <c r="M131">
        <v>173</v>
      </c>
      <c r="N131">
        <v>8</v>
      </c>
      <c r="O131">
        <v>2</v>
      </c>
    </row>
    <row r="132" spans="4:15" x14ac:dyDescent="0.35">
      <c r="D132">
        <v>131</v>
      </c>
      <c r="E132">
        <v>17</v>
      </c>
      <c r="F132">
        <v>7</v>
      </c>
      <c r="G132" s="1">
        <v>45937</v>
      </c>
      <c r="M132">
        <v>67</v>
      </c>
      <c r="N132">
        <v>4</v>
      </c>
      <c r="O132">
        <v>4</v>
      </c>
    </row>
    <row r="133" spans="4:15" x14ac:dyDescent="0.35">
      <c r="D133">
        <v>132</v>
      </c>
      <c r="E133">
        <v>58</v>
      </c>
      <c r="F133">
        <v>6</v>
      </c>
      <c r="G133" s="1">
        <v>45721</v>
      </c>
      <c r="M133">
        <v>138</v>
      </c>
      <c r="N133">
        <v>9</v>
      </c>
      <c r="O133">
        <v>1</v>
      </c>
    </row>
    <row r="134" spans="4:15" x14ac:dyDescent="0.35">
      <c r="D134">
        <v>133</v>
      </c>
      <c r="E134">
        <v>44</v>
      </c>
      <c r="F134">
        <v>2</v>
      </c>
      <c r="G134" s="1">
        <v>46015</v>
      </c>
      <c r="M134">
        <v>97</v>
      </c>
      <c r="N134">
        <v>15</v>
      </c>
      <c r="O134">
        <v>5</v>
      </c>
    </row>
    <row r="135" spans="4:15" x14ac:dyDescent="0.35">
      <c r="D135">
        <v>134</v>
      </c>
      <c r="E135">
        <v>26</v>
      </c>
      <c r="F135">
        <v>8</v>
      </c>
      <c r="G135" s="1">
        <v>45858</v>
      </c>
      <c r="M135">
        <v>109</v>
      </c>
      <c r="N135">
        <v>24</v>
      </c>
      <c r="O135">
        <v>2</v>
      </c>
    </row>
    <row r="136" spans="4:15" x14ac:dyDescent="0.35">
      <c r="D136">
        <v>135</v>
      </c>
      <c r="E136">
        <v>24</v>
      </c>
      <c r="F136">
        <v>2</v>
      </c>
      <c r="G136" s="1">
        <v>45859</v>
      </c>
      <c r="M136">
        <v>126</v>
      </c>
      <c r="N136">
        <v>8</v>
      </c>
      <c r="O136">
        <v>3</v>
      </c>
    </row>
    <row r="137" spans="4:15" x14ac:dyDescent="0.35">
      <c r="D137">
        <v>136</v>
      </c>
      <c r="E137">
        <v>1</v>
      </c>
      <c r="F137">
        <v>10</v>
      </c>
      <c r="G137" s="1">
        <v>45711</v>
      </c>
      <c r="M137">
        <v>117</v>
      </c>
      <c r="N137">
        <v>14</v>
      </c>
      <c r="O137">
        <v>3</v>
      </c>
    </row>
    <row r="138" spans="4:15" x14ac:dyDescent="0.35">
      <c r="D138">
        <v>137</v>
      </c>
      <c r="E138">
        <v>9</v>
      </c>
      <c r="F138">
        <v>8</v>
      </c>
      <c r="G138" s="1">
        <v>45785</v>
      </c>
      <c r="M138">
        <v>100</v>
      </c>
      <c r="N138">
        <v>8</v>
      </c>
      <c r="O138">
        <v>1</v>
      </c>
    </row>
    <row r="139" spans="4:15" x14ac:dyDescent="0.35">
      <c r="D139">
        <v>138</v>
      </c>
      <c r="E139">
        <v>39</v>
      </c>
      <c r="F139">
        <v>10</v>
      </c>
      <c r="G139" s="1">
        <v>45716</v>
      </c>
      <c r="M139">
        <v>41</v>
      </c>
      <c r="N139">
        <v>22</v>
      </c>
      <c r="O139">
        <v>3</v>
      </c>
    </row>
    <row r="140" spans="4:15" x14ac:dyDescent="0.35">
      <c r="D140">
        <v>139</v>
      </c>
      <c r="E140">
        <v>78</v>
      </c>
      <c r="F140">
        <v>5</v>
      </c>
      <c r="G140" s="1">
        <v>45773</v>
      </c>
      <c r="M140">
        <v>80</v>
      </c>
      <c r="N140">
        <v>23</v>
      </c>
      <c r="O140">
        <v>4</v>
      </c>
    </row>
    <row r="141" spans="4:15" x14ac:dyDescent="0.35">
      <c r="D141">
        <v>140</v>
      </c>
      <c r="E141">
        <v>49</v>
      </c>
      <c r="F141">
        <v>3</v>
      </c>
      <c r="G141" s="1">
        <v>45669</v>
      </c>
      <c r="M141">
        <v>32</v>
      </c>
      <c r="N141">
        <v>24</v>
      </c>
      <c r="O141">
        <v>3</v>
      </c>
    </row>
    <row r="142" spans="4:15" x14ac:dyDescent="0.35">
      <c r="D142">
        <v>141</v>
      </c>
      <c r="E142">
        <v>19</v>
      </c>
      <c r="F142">
        <v>8</v>
      </c>
      <c r="G142" s="1">
        <v>45904</v>
      </c>
      <c r="M142">
        <v>19</v>
      </c>
      <c r="N142">
        <v>1</v>
      </c>
      <c r="O142">
        <v>2</v>
      </c>
    </row>
    <row r="143" spans="4:15" x14ac:dyDescent="0.35">
      <c r="D143">
        <v>142</v>
      </c>
      <c r="E143">
        <v>30</v>
      </c>
      <c r="F143">
        <v>7</v>
      </c>
      <c r="G143" s="1">
        <v>45948</v>
      </c>
      <c r="M143">
        <v>96</v>
      </c>
      <c r="N143">
        <v>21</v>
      </c>
      <c r="O143">
        <v>3</v>
      </c>
    </row>
    <row r="144" spans="4:15" x14ac:dyDescent="0.35">
      <c r="D144">
        <v>143</v>
      </c>
      <c r="E144">
        <v>59</v>
      </c>
      <c r="F144">
        <v>3</v>
      </c>
      <c r="G144" s="1">
        <v>45917</v>
      </c>
      <c r="M144">
        <v>162</v>
      </c>
      <c r="N144">
        <v>3</v>
      </c>
      <c r="O144">
        <v>3</v>
      </c>
    </row>
    <row r="145" spans="4:15" x14ac:dyDescent="0.35">
      <c r="D145">
        <v>144</v>
      </c>
      <c r="E145">
        <v>10</v>
      </c>
      <c r="F145">
        <v>7</v>
      </c>
      <c r="G145" s="1">
        <v>45826</v>
      </c>
      <c r="M145">
        <v>109</v>
      </c>
      <c r="N145">
        <v>14</v>
      </c>
      <c r="O145">
        <v>3</v>
      </c>
    </row>
    <row r="146" spans="4:15" x14ac:dyDescent="0.35">
      <c r="D146">
        <v>145</v>
      </c>
      <c r="E146">
        <v>28</v>
      </c>
      <c r="F146">
        <v>4</v>
      </c>
      <c r="G146" s="1">
        <v>45774</v>
      </c>
      <c r="M146">
        <v>200</v>
      </c>
      <c r="N146">
        <v>17</v>
      </c>
      <c r="O146">
        <v>3</v>
      </c>
    </row>
    <row r="147" spans="4:15" x14ac:dyDescent="0.35">
      <c r="D147">
        <v>146</v>
      </c>
      <c r="E147">
        <v>67</v>
      </c>
      <c r="F147">
        <v>7</v>
      </c>
      <c r="G147" s="1">
        <v>45816</v>
      </c>
      <c r="M147">
        <v>126</v>
      </c>
      <c r="N147">
        <v>9</v>
      </c>
      <c r="O147">
        <v>3</v>
      </c>
    </row>
    <row r="148" spans="4:15" x14ac:dyDescent="0.35">
      <c r="D148">
        <v>147</v>
      </c>
      <c r="E148">
        <v>90</v>
      </c>
      <c r="F148">
        <v>7</v>
      </c>
      <c r="G148" s="1">
        <v>45725</v>
      </c>
      <c r="M148">
        <v>159</v>
      </c>
      <c r="N148">
        <v>8</v>
      </c>
      <c r="O148">
        <v>5</v>
      </c>
    </row>
    <row r="149" spans="4:15" x14ac:dyDescent="0.35">
      <c r="D149">
        <v>148</v>
      </c>
      <c r="E149">
        <v>20</v>
      </c>
      <c r="F149">
        <v>4</v>
      </c>
      <c r="G149" s="1">
        <v>45663</v>
      </c>
      <c r="M149">
        <v>91</v>
      </c>
      <c r="N149">
        <v>6</v>
      </c>
      <c r="O149">
        <v>4</v>
      </c>
    </row>
    <row r="150" spans="4:15" x14ac:dyDescent="0.35">
      <c r="D150">
        <v>149</v>
      </c>
      <c r="E150">
        <v>19</v>
      </c>
      <c r="F150">
        <v>4</v>
      </c>
      <c r="G150" s="1">
        <v>45952</v>
      </c>
      <c r="M150">
        <v>117</v>
      </c>
      <c r="N150">
        <v>10</v>
      </c>
      <c r="O150">
        <v>3</v>
      </c>
    </row>
    <row r="151" spans="4:15" x14ac:dyDescent="0.35">
      <c r="D151">
        <v>150</v>
      </c>
      <c r="E151">
        <v>40</v>
      </c>
      <c r="F151">
        <v>5</v>
      </c>
      <c r="G151" s="1">
        <v>45989</v>
      </c>
      <c r="M151">
        <v>196</v>
      </c>
      <c r="N151">
        <v>14</v>
      </c>
      <c r="O151">
        <v>4</v>
      </c>
    </row>
    <row r="152" spans="4:15" x14ac:dyDescent="0.35">
      <c r="D152">
        <v>151</v>
      </c>
      <c r="E152">
        <v>37</v>
      </c>
      <c r="F152">
        <v>7</v>
      </c>
      <c r="G152" s="1">
        <v>45947</v>
      </c>
      <c r="M152">
        <v>169</v>
      </c>
      <c r="N152">
        <v>23</v>
      </c>
      <c r="O152">
        <v>2</v>
      </c>
    </row>
    <row r="153" spans="4:15" x14ac:dyDescent="0.35">
      <c r="D153">
        <v>152</v>
      </c>
      <c r="E153">
        <v>80</v>
      </c>
      <c r="F153">
        <v>6</v>
      </c>
      <c r="G153" s="1">
        <v>45831</v>
      </c>
      <c r="M153">
        <v>64</v>
      </c>
      <c r="N153">
        <v>25</v>
      </c>
      <c r="O153">
        <v>1</v>
      </c>
    </row>
    <row r="154" spans="4:15" x14ac:dyDescent="0.35">
      <c r="D154">
        <v>153</v>
      </c>
      <c r="E154">
        <v>75</v>
      </c>
      <c r="F154">
        <v>1</v>
      </c>
      <c r="G154" s="1">
        <v>45767</v>
      </c>
      <c r="M154">
        <v>176</v>
      </c>
      <c r="N154">
        <v>21</v>
      </c>
      <c r="O154">
        <v>5</v>
      </c>
    </row>
    <row r="155" spans="4:15" x14ac:dyDescent="0.35">
      <c r="D155">
        <v>154</v>
      </c>
      <c r="E155">
        <v>3</v>
      </c>
      <c r="F155">
        <v>10</v>
      </c>
      <c r="G155" s="1">
        <v>45913</v>
      </c>
      <c r="M155">
        <v>15</v>
      </c>
      <c r="N155">
        <v>15</v>
      </c>
      <c r="O155">
        <v>4</v>
      </c>
    </row>
    <row r="156" spans="4:15" x14ac:dyDescent="0.35">
      <c r="D156">
        <v>155</v>
      </c>
      <c r="E156">
        <v>57</v>
      </c>
      <c r="F156">
        <v>7</v>
      </c>
      <c r="G156" s="1">
        <v>45836</v>
      </c>
      <c r="M156">
        <v>83</v>
      </c>
      <c r="N156">
        <v>23</v>
      </c>
      <c r="O156">
        <v>4</v>
      </c>
    </row>
    <row r="157" spans="4:15" x14ac:dyDescent="0.35">
      <c r="D157">
        <v>156</v>
      </c>
      <c r="E157">
        <v>83</v>
      </c>
      <c r="F157">
        <v>9</v>
      </c>
      <c r="G157" s="1">
        <v>45934</v>
      </c>
      <c r="M157">
        <v>28</v>
      </c>
      <c r="N157">
        <v>1</v>
      </c>
      <c r="O157">
        <v>5</v>
      </c>
    </row>
    <row r="158" spans="4:15" x14ac:dyDescent="0.35">
      <c r="D158">
        <v>157</v>
      </c>
      <c r="E158">
        <v>25</v>
      </c>
      <c r="F158">
        <v>9</v>
      </c>
      <c r="G158" s="1">
        <v>45966</v>
      </c>
      <c r="M158">
        <v>7</v>
      </c>
      <c r="N158">
        <v>9</v>
      </c>
      <c r="O158">
        <v>4</v>
      </c>
    </row>
    <row r="159" spans="4:15" x14ac:dyDescent="0.35">
      <c r="D159">
        <v>158</v>
      </c>
      <c r="E159">
        <v>48</v>
      </c>
      <c r="F159">
        <v>9</v>
      </c>
      <c r="G159" s="1">
        <v>45996</v>
      </c>
      <c r="M159">
        <v>125</v>
      </c>
      <c r="N159">
        <v>23</v>
      </c>
      <c r="O159">
        <v>1</v>
      </c>
    </row>
    <row r="160" spans="4:15" x14ac:dyDescent="0.35">
      <c r="D160">
        <v>159</v>
      </c>
      <c r="E160">
        <v>81</v>
      </c>
      <c r="F160">
        <v>8</v>
      </c>
      <c r="G160" s="1">
        <v>45920</v>
      </c>
      <c r="M160">
        <v>110</v>
      </c>
      <c r="N160">
        <v>7</v>
      </c>
      <c r="O160">
        <v>5</v>
      </c>
    </row>
    <row r="161" spans="4:15" x14ac:dyDescent="0.35">
      <c r="D161">
        <v>160</v>
      </c>
      <c r="E161">
        <v>93</v>
      </c>
      <c r="F161">
        <v>3</v>
      </c>
      <c r="G161" s="1">
        <v>45662</v>
      </c>
      <c r="M161">
        <v>135</v>
      </c>
      <c r="N161">
        <v>18</v>
      </c>
      <c r="O161">
        <v>5</v>
      </c>
    </row>
    <row r="162" spans="4:15" x14ac:dyDescent="0.35">
      <c r="D162">
        <v>161</v>
      </c>
      <c r="E162">
        <v>5</v>
      </c>
      <c r="F162">
        <v>8</v>
      </c>
      <c r="G162" s="1">
        <v>45768</v>
      </c>
      <c r="M162">
        <v>50</v>
      </c>
      <c r="N162">
        <v>24</v>
      </c>
      <c r="O162">
        <v>1</v>
      </c>
    </row>
    <row r="163" spans="4:15" x14ac:dyDescent="0.35">
      <c r="D163">
        <v>162</v>
      </c>
      <c r="E163">
        <v>9</v>
      </c>
      <c r="F163">
        <v>10</v>
      </c>
      <c r="G163" s="1">
        <v>45689</v>
      </c>
      <c r="M163">
        <v>102</v>
      </c>
      <c r="N163">
        <v>22</v>
      </c>
      <c r="O163">
        <v>4</v>
      </c>
    </row>
    <row r="164" spans="4:15" x14ac:dyDescent="0.35">
      <c r="D164">
        <v>163</v>
      </c>
      <c r="E164">
        <v>63</v>
      </c>
      <c r="F164">
        <v>3</v>
      </c>
      <c r="G164" s="1">
        <v>45965</v>
      </c>
      <c r="M164">
        <v>117</v>
      </c>
      <c r="N164">
        <v>23</v>
      </c>
      <c r="O164">
        <v>1</v>
      </c>
    </row>
    <row r="165" spans="4:15" x14ac:dyDescent="0.35">
      <c r="D165">
        <v>164</v>
      </c>
      <c r="E165">
        <v>4</v>
      </c>
      <c r="F165">
        <v>8</v>
      </c>
      <c r="G165" s="1">
        <v>45723</v>
      </c>
      <c r="M165">
        <v>95</v>
      </c>
      <c r="N165">
        <v>22</v>
      </c>
      <c r="O165">
        <v>3</v>
      </c>
    </row>
    <row r="166" spans="4:15" x14ac:dyDescent="0.35">
      <c r="D166">
        <v>165</v>
      </c>
      <c r="E166">
        <v>90</v>
      </c>
      <c r="F166">
        <v>1</v>
      </c>
      <c r="G166" s="1">
        <v>45767</v>
      </c>
      <c r="M166">
        <v>192</v>
      </c>
      <c r="N166">
        <v>2</v>
      </c>
      <c r="O166">
        <v>4</v>
      </c>
    </row>
    <row r="167" spans="4:15" x14ac:dyDescent="0.35">
      <c r="D167">
        <v>166</v>
      </c>
      <c r="E167">
        <v>97</v>
      </c>
      <c r="F167">
        <v>5</v>
      </c>
      <c r="G167" s="1">
        <v>45677</v>
      </c>
      <c r="M167">
        <v>151</v>
      </c>
      <c r="N167">
        <v>14</v>
      </c>
      <c r="O167">
        <v>2</v>
      </c>
    </row>
    <row r="168" spans="4:15" x14ac:dyDescent="0.35">
      <c r="D168">
        <v>167</v>
      </c>
      <c r="E168">
        <v>70</v>
      </c>
      <c r="F168">
        <v>1</v>
      </c>
      <c r="G168" s="1">
        <v>45696</v>
      </c>
      <c r="M168">
        <v>75</v>
      </c>
      <c r="N168">
        <v>24</v>
      </c>
      <c r="O168">
        <v>5</v>
      </c>
    </row>
    <row r="169" spans="4:15" x14ac:dyDescent="0.35">
      <c r="D169">
        <v>168</v>
      </c>
      <c r="E169">
        <v>87</v>
      </c>
      <c r="F169">
        <v>1</v>
      </c>
      <c r="G169" s="1">
        <v>45727</v>
      </c>
      <c r="M169">
        <v>75</v>
      </c>
      <c r="N169">
        <v>20</v>
      </c>
      <c r="O169">
        <v>4</v>
      </c>
    </row>
    <row r="170" spans="4:15" x14ac:dyDescent="0.35">
      <c r="D170">
        <v>169</v>
      </c>
      <c r="E170">
        <v>51</v>
      </c>
      <c r="F170">
        <v>2</v>
      </c>
      <c r="G170" s="1">
        <v>45785</v>
      </c>
      <c r="M170">
        <v>170</v>
      </c>
      <c r="N170">
        <v>19</v>
      </c>
      <c r="O170">
        <v>4</v>
      </c>
    </row>
    <row r="171" spans="4:15" x14ac:dyDescent="0.35">
      <c r="D171">
        <v>170</v>
      </c>
      <c r="E171">
        <v>85</v>
      </c>
      <c r="F171">
        <v>2</v>
      </c>
      <c r="G171" s="1">
        <v>45737</v>
      </c>
      <c r="M171">
        <v>199</v>
      </c>
      <c r="N171">
        <v>23</v>
      </c>
      <c r="O171">
        <v>2</v>
      </c>
    </row>
    <row r="172" spans="4:15" x14ac:dyDescent="0.35">
      <c r="D172">
        <v>171</v>
      </c>
      <c r="E172">
        <v>86</v>
      </c>
      <c r="F172">
        <v>5</v>
      </c>
      <c r="G172" s="1">
        <v>45894</v>
      </c>
      <c r="M172">
        <v>6</v>
      </c>
      <c r="N172">
        <v>19</v>
      </c>
      <c r="O172">
        <v>4</v>
      </c>
    </row>
    <row r="173" spans="4:15" x14ac:dyDescent="0.35">
      <c r="D173">
        <v>172</v>
      </c>
      <c r="E173">
        <v>18</v>
      </c>
      <c r="F173">
        <v>8</v>
      </c>
      <c r="G173" s="1">
        <v>45845</v>
      </c>
      <c r="M173">
        <v>94</v>
      </c>
      <c r="N173">
        <v>19</v>
      </c>
      <c r="O173">
        <v>5</v>
      </c>
    </row>
    <row r="174" spans="4:15" x14ac:dyDescent="0.35">
      <c r="D174">
        <v>173</v>
      </c>
      <c r="E174">
        <v>10</v>
      </c>
      <c r="F174">
        <v>4</v>
      </c>
      <c r="G174" s="1">
        <v>45860</v>
      </c>
      <c r="M174">
        <v>111</v>
      </c>
      <c r="N174">
        <v>14</v>
      </c>
      <c r="O174">
        <v>1</v>
      </c>
    </row>
    <row r="175" spans="4:15" x14ac:dyDescent="0.35">
      <c r="D175">
        <v>174</v>
      </c>
      <c r="E175">
        <v>44</v>
      </c>
      <c r="F175">
        <v>9</v>
      </c>
      <c r="G175" s="1">
        <v>45902</v>
      </c>
      <c r="M175">
        <v>31</v>
      </c>
      <c r="N175">
        <v>24</v>
      </c>
      <c r="O175">
        <v>5</v>
      </c>
    </row>
    <row r="176" spans="4:15" x14ac:dyDescent="0.35">
      <c r="D176">
        <v>175</v>
      </c>
      <c r="E176">
        <v>75</v>
      </c>
      <c r="F176">
        <v>7</v>
      </c>
      <c r="G176" s="1">
        <v>45877</v>
      </c>
      <c r="M176">
        <v>7</v>
      </c>
      <c r="N176">
        <v>8</v>
      </c>
      <c r="O176">
        <v>4</v>
      </c>
    </row>
    <row r="177" spans="4:15" x14ac:dyDescent="0.35">
      <c r="D177">
        <v>176</v>
      </c>
      <c r="E177">
        <v>79</v>
      </c>
      <c r="F177">
        <v>7</v>
      </c>
      <c r="G177" s="1">
        <v>45764</v>
      </c>
      <c r="M177">
        <v>141</v>
      </c>
      <c r="N177">
        <v>23</v>
      </c>
      <c r="O177">
        <v>5</v>
      </c>
    </row>
    <row r="178" spans="4:15" x14ac:dyDescent="0.35">
      <c r="D178">
        <v>177</v>
      </c>
      <c r="E178">
        <v>5</v>
      </c>
      <c r="F178">
        <v>8</v>
      </c>
      <c r="G178" s="1">
        <v>45922</v>
      </c>
      <c r="M178">
        <v>80</v>
      </c>
      <c r="N178">
        <v>8</v>
      </c>
      <c r="O178">
        <v>2</v>
      </c>
    </row>
    <row r="179" spans="4:15" x14ac:dyDescent="0.35">
      <c r="D179">
        <v>178</v>
      </c>
      <c r="E179">
        <v>34</v>
      </c>
      <c r="F179">
        <v>10</v>
      </c>
      <c r="G179" s="1">
        <v>45753</v>
      </c>
      <c r="M179">
        <v>147</v>
      </c>
      <c r="N179">
        <v>5</v>
      </c>
      <c r="O179">
        <v>4</v>
      </c>
    </row>
    <row r="180" spans="4:15" x14ac:dyDescent="0.35">
      <c r="D180">
        <v>179</v>
      </c>
      <c r="E180">
        <v>100</v>
      </c>
      <c r="F180">
        <v>9</v>
      </c>
      <c r="G180" s="1">
        <v>45794</v>
      </c>
      <c r="M180">
        <v>144</v>
      </c>
      <c r="N180">
        <v>15</v>
      </c>
      <c r="O180">
        <v>4</v>
      </c>
    </row>
    <row r="181" spans="4:15" x14ac:dyDescent="0.35">
      <c r="D181">
        <v>180</v>
      </c>
      <c r="E181">
        <v>75</v>
      </c>
      <c r="F181">
        <v>1</v>
      </c>
      <c r="G181" s="1">
        <v>45936</v>
      </c>
      <c r="M181">
        <v>50</v>
      </c>
      <c r="N181">
        <v>23</v>
      </c>
      <c r="O181">
        <v>5</v>
      </c>
    </row>
    <row r="182" spans="4:15" x14ac:dyDescent="0.35">
      <c r="D182">
        <v>181</v>
      </c>
      <c r="E182">
        <v>94</v>
      </c>
      <c r="F182">
        <v>4</v>
      </c>
      <c r="G182" s="1">
        <v>45879</v>
      </c>
      <c r="M182">
        <v>188</v>
      </c>
      <c r="N182">
        <v>14</v>
      </c>
      <c r="O182">
        <v>5</v>
      </c>
    </row>
    <row r="183" spans="4:15" x14ac:dyDescent="0.35">
      <c r="D183">
        <v>182</v>
      </c>
      <c r="E183">
        <v>91</v>
      </c>
      <c r="F183">
        <v>4</v>
      </c>
      <c r="G183" s="1">
        <v>45866</v>
      </c>
      <c r="M183">
        <v>96</v>
      </c>
      <c r="N183">
        <v>22</v>
      </c>
      <c r="O183">
        <v>3</v>
      </c>
    </row>
    <row r="184" spans="4:15" x14ac:dyDescent="0.35">
      <c r="D184">
        <v>183</v>
      </c>
      <c r="E184">
        <v>2</v>
      </c>
      <c r="F184">
        <v>4</v>
      </c>
      <c r="G184" s="1">
        <v>45758</v>
      </c>
      <c r="M184">
        <v>116</v>
      </c>
      <c r="N184">
        <v>8</v>
      </c>
      <c r="O184">
        <v>1</v>
      </c>
    </row>
    <row r="185" spans="4:15" x14ac:dyDescent="0.35">
      <c r="D185">
        <v>184</v>
      </c>
      <c r="E185">
        <v>29</v>
      </c>
      <c r="F185">
        <v>4</v>
      </c>
      <c r="G185" s="1">
        <v>45876</v>
      </c>
      <c r="M185">
        <v>172</v>
      </c>
      <c r="N185">
        <v>8</v>
      </c>
      <c r="O185">
        <v>3</v>
      </c>
    </row>
    <row r="186" spans="4:15" x14ac:dyDescent="0.35">
      <c r="D186">
        <v>185</v>
      </c>
      <c r="E186">
        <v>61</v>
      </c>
      <c r="F186">
        <v>10</v>
      </c>
      <c r="G186" s="1">
        <v>45791</v>
      </c>
      <c r="M186">
        <v>180</v>
      </c>
      <c r="N186">
        <v>23</v>
      </c>
      <c r="O186">
        <v>5</v>
      </c>
    </row>
    <row r="187" spans="4:15" x14ac:dyDescent="0.35">
      <c r="D187">
        <v>186</v>
      </c>
      <c r="E187">
        <v>85</v>
      </c>
      <c r="F187">
        <v>6</v>
      </c>
      <c r="G187" s="1">
        <v>45768</v>
      </c>
      <c r="M187">
        <v>8</v>
      </c>
      <c r="N187">
        <v>23</v>
      </c>
      <c r="O187">
        <v>3</v>
      </c>
    </row>
    <row r="188" spans="4:15" x14ac:dyDescent="0.35">
      <c r="D188">
        <v>187</v>
      </c>
      <c r="E188">
        <v>13</v>
      </c>
      <c r="F188">
        <v>7</v>
      </c>
      <c r="G188" s="1">
        <v>45934</v>
      </c>
      <c r="M188">
        <v>185</v>
      </c>
      <c r="N188">
        <v>23</v>
      </c>
      <c r="O188">
        <v>3</v>
      </c>
    </row>
    <row r="189" spans="4:15" x14ac:dyDescent="0.35">
      <c r="D189">
        <v>188</v>
      </c>
      <c r="E189">
        <v>75</v>
      </c>
      <c r="F189">
        <v>9</v>
      </c>
      <c r="G189" s="1">
        <v>45667</v>
      </c>
      <c r="M189">
        <v>3</v>
      </c>
      <c r="N189">
        <v>22</v>
      </c>
      <c r="O189">
        <v>2</v>
      </c>
    </row>
    <row r="190" spans="4:15" x14ac:dyDescent="0.35">
      <c r="D190">
        <v>189</v>
      </c>
      <c r="E190">
        <v>14</v>
      </c>
      <c r="F190">
        <v>9</v>
      </c>
      <c r="G190" s="1">
        <v>45724</v>
      </c>
      <c r="M190">
        <v>36</v>
      </c>
      <c r="N190">
        <v>25</v>
      </c>
      <c r="O190">
        <v>4</v>
      </c>
    </row>
    <row r="191" spans="4:15" x14ac:dyDescent="0.35">
      <c r="D191">
        <v>190</v>
      </c>
      <c r="E191">
        <v>28</v>
      </c>
      <c r="F191">
        <v>8</v>
      </c>
      <c r="G191" s="1">
        <v>45871</v>
      </c>
      <c r="M191">
        <v>47</v>
      </c>
      <c r="N191">
        <v>24</v>
      </c>
      <c r="O191">
        <v>4</v>
      </c>
    </row>
    <row r="192" spans="4:15" x14ac:dyDescent="0.35">
      <c r="D192">
        <v>191</v>
      </c>
      <c r="E192">
        <v>96</v>
      </c>
      <c r="F192">
        <v>1</v>
      </c>
      <c r="G192" s="1">
        <v>45921</v>
      </c>
      <c r="M192">
        <v>80</v>
      </c>
      <c r="N192">
        <v>9</v>
      </c>
      <c r="O192">
        <v>5</v>
      </c>
    </row>
    <row r="193" spans="4:15" x14ac:dyDescent="0.35">
      <c r="D193">
        <v>192</v>
      </c>
      <c r="E193">
        <v>41</v>
      </c>
      <c r="F193">
        <v>7</v>
      </c>
      <c r="G193" s="1">
        <v>45953</v>
      </c>
      <c r="M193">
        <v>145</v>
      </c>
      <c r="N193">
        <v>10</v>
      </c>
      <c r="O193">
        <v>4</v>
      </c>
    </row>
    <row r="194" spans="4:15" x14ac:dyDescent="0.35">
      <c r="D194">
        <v>193</v>
      </c>
      <c r="E194">
        <v>71</v>
      </c>
      <c r="F194">
        <v>6</v>
      </c>
      <c r="G194" s="1">
        <v>45941</v>
      </c>
      <c r="M194">
        <v>166</v>
      </c>
      <c r="N194">
        <v>23</v>
      </c>
      <c r="O194">
        <v>5</v>
      </c>
    </row>
    <row r="195" spans="4:15" x14ac:dyDescent="0.35">
      <c r="D195">
        <v>194</v>
      </c>
      <c r="E195">
        <v>86</v>
      </c>
      <c r="F195">
        <v>9</v>
      </c>
      <c r="G195" s="1">
        <v>45711</v>
      </c>
      <c r="M195">
        <v>122</v>
      </c>
      <c r="N195">
        <v>2</v>
      </c>
      <c r="O195">
        <v>2</v>
      </c>
    </row>
    <row r="196" spans="4:15" x14ac:dyDescent="0.35">
      <c r="D196">
        <v>195</v>
      </c>
      <c r="E196">
        <v>96</v>
      </c>
      <c r="F196">
        <v>2</v>
      </c>
      <c r="G196" s="1">
        <v>45925</v>
      </c>
      <c r="M196">
        <v>24</v>
      </c>
      <c r="N196">
        <v>13</v>
      </c>
      <c r="O196">
        <v>2</v>
      </c>
    </row>
    <row r="197" spans="4:15" x14ac:dyDescent="0.35">
      <c r="D197">
        <v>196</v>
      </c>
      <c r="E197">
        <v>15</v>
      </c>
      <c r="F197">
        <v>10</v>
      </c>
      <c r="G197" s="1">
        <v>45664</v>
      </c>
      <c r="M197">
        <v>76</v>
      </c>
      <c r="N197">
        <v>11</v>
      </c>
      <c r="O197">
        <v>4</v>
      </c>
    </row>
    <row r="198" spans="4:15" x14ac:dyDescent="0.35">
      <c r="D198">
        <v>197</v>
      </c>
      <c r="E198">
        <v>63</v>
      </c>
      <c r="F198">
        <v>7</v>
      </c>
      <c r="G198" s="1">
        <v>45891</v>
      </c>
      <c r="M198">
        <v>133</v>
      </c>
      <c r="N198">
        <v>5</v>
      </c>
      <c r="O198">
        <v>1</v>
      </c>
    </row>
    <row r="199" spans="4:15" x14ac:dyDescent="0.35">
      <c r="D199">
        <v>198</v>
      </c>
      <c r="E199">
        <v>54</v>
      </c>
      <c r="F199">
        <v>2</v>
      </c>
      <c r="G199" s="1">
        <v>46004</v>
      </c>
      <c r="M199">
        <v>183</v>
      </c>
      <c r="N199">
        <v>4</v>
      </c>
      <c r="O199">
        <v>3</v>
      </c>
    </row>
    <row r="200" spans="4:15" x14ac:dyDescent="0.35">
      <c r="D200">
        <v>199</v>
      </c>
      <c r="E200">
        <v>45</v>
      </c>
      <c r="F200">
        <v>1</v>
      </c>
      <c r="G200" s="1">
        <v>45811</v>
      </c>
      <c r="M200">
        <v>144</v>
      </c>
      <c r="N200">
        <v>16</v>
      </c>
      <c r="O200">
        <v>2</v>
      </c>
    </row>
    <row r="201" spans="4:15" x14ac:dyDescent="0.35">
      <c r="D201">
        <v>200</v>
      </c>
      <c r="E201">
        <v>16</v>
      </c>
      <c r="F201">
        <v>4</v>
      </c>
      <c r="G201" s="1">
        <v>45995</v>
      </c>
      <c r="M201">
        <v>117</v>
      </c>
      <c r="N201">
        <v>5</v>
      </c>
      <c r="O201">
        <v>3</v>
      </c>
    </row>
    <row r="202" spans="4:15" x14ac:dyDescent="0.35">
      <c r="M202">
        <v>186</v>
      </c>
      <c r="N202">
        <v>19</v>
      </c>
      <c r="O202">
        <v>4</v>
      </c>
    </row>
    <row r="203" spans="4:15" x14ac:dyDescent="0.35">
      <c r="M203">
        <v>165</v>
      </c>
      <c r="N203">
        <v>7</v>
      </c>
      <c r="O203">
        <v>4</v>
      </c>
    </row>
    <row r="204" spans="4:15" x14ac:dyDescent="0.35">
      <c r="M204">
        <v>87</v>
      </c>
      <c r="N204">
        <v>15</v>
      </c>
      <c r="O204">
        <v>3</v>
      </c>
    </row>
    <row r="205" spans="4:15" x14ac:dyDescent="0.35">
      <c r="M205">
        <v>141</v>
      </c>
      <c r="N205">
        <v>7</v>
      </c>
      <c r="O205">
        <v>2</v>
      </c>
    </row>
    <row r="206" spans="4:15" x14ac:dyDescent="0.35">
      <c r="M206">
        <v>193</v>
      </c>
      <c r="N206">
        <v>19</v>
      </c>
      <c r="O206">
        <v>5</v>
      </c>
    </row>
    <row r="207" spans="4:15" x14ac:dyDescent="0.35">
      <c r="M207">
        <v>89</v>
      </c>
      <c r="N207">
        <v>6</v>
      </c>
      <c r="O207">
        <v>4</v>
      </c>
    </row>
    <row r="208" spans="4:15" x14ac:dyDescent="0.35">
      <c r="M208">
        <v>57</v>
      </c>
      <c r="N208">
        <v>4</v>
      </c>
      <c r="O208">
        <v>4</v>
      </c>
    </row>
    <row r="209" spans="13:15" x14ac:dyDescent="0.35">
      <c r="M209">
        <v>70</v>
      </c>
      <c r="N209">
        <v>9</v>
      </c>
      <c r="O209">
        <v>3</v>
      </c>
    </row>
    <row r="210" spans="13:15" x14ac:dyDescent="0.35">
      <c r="M210">
        <v>83</v>
      </c>
      <c r="N210">
        <v>24</v>
      </c>
      <c r="O210">
        <v>1</v>
      </c>
    </row>
    <row r="211" spans="13:15" x14ac:dyDescent="0.35">
      <c r="M211">
        <v>18</v>
      </c>
      <c r="N211">
        <v>2</v>
      </c>
      <c r="O211">
        <v>4</v>
      </c>
    </row>
    <row r="212" spans="13:15" x14ac:dyDescent="0.35">
      <c r="M212">
        <v>181</v>
      </c>
      <c r="N212">
        <v>23</v>
      </c>
      <c r="O212">
        <v>5</v>
      </c>
    </row>
    <row r="213" spans="13:15" x14ac:dyDescent="0.35">
      <c r="M213">
        <v>142</v>
      </c>
      <c r="N213">
        <v>3</v>
      </c>
      <c r="O213">
        <v>2</v>
      </c>
    </row>
    <row r="214" spans="13:15" x14ac:dyDescent="0.35">
      <c r="M214">
        <v>200</v>
      </c>
      <c r="N214">
        <v>17</v>
      </c>
      <c r="O214">
        <v>2</v>
      </c>
    </row>
    <row r="215" spans="13:15" x14ac:dyDescent="0.35">
      <c r="M215">
        <v>44</v>
      </c>
      <c r="N215">
        <v>14</v>
      </c>
      <c r="O215">
        <v>5</v>
      </c>
    </row>
    <row r="216" spans="13:15" x14ac:dyDescent="0.35">
      <c r="M216">
        <v>105</v>
      </c>
      <c r="N216">
        <v>18</v>
      </c>
      <c r="O216">
        <v>4</v>
      </c>
    </row>
    <row r="217" spans="13:15" x14ac:dyDescent="0.35">
      <c r="M217">
        <v>161</v>
      </c>
      <c r="N217">
        <v>11</v>
      </c>
      <c r="O217">
        <v>2</v>
      </c>
    </row>
    <row r="218" spans="13:15" x14ac:dyDescent="0.35">
      <c r="M218">
        <v>127</v>
      </c>
      <c r="N218">
        <v>21</v>
      </c>
      <c r="O218">
        <v>2</v>
      </c>
    </row>
    <row r="219" spans="13:15" x14ac:dyDescent="0.35">
      <c r="M219">
        <v>79</v>
      </c>
      <c r="N219">
        <v>22</v>
      </c>
      <c r="O219">
        <v>2</v>
      </c>
    </row>
    <row r="220" spans="13:15" x14ac:dyDescent="0.35">
      <c r="M220">
        <v>122</v>
      </c>
      <c r="N220">
        <v>10</v>
      </c>
      <c r="O220">
        <v>1</v>
      </c>
    </row>
    <row r="221" spans="13:15" x14ac:dyDescent="0.35">
      <c r="M221">
        <v>29</v>
      </c>
      <c r="N221">
        <v>6</v>
      </c>
      <c r="O221">
        <v>4</v>
      </c>
    </row>
    <row r="222" spans="13:15" x14ac:dyDescent="0.35">
      <c r="M222">
        <v>67</v>
      </c>
      <c r="N222">
        <v>23</v>
      </c>
      <c r="O222">
        <v>5</v>
      </c>
    </row>
    <row r="223" spans="13:15" x14ac:dyDescent="0.35">
      <c r="M223">
        <v>104</v>
      </c>
      <c r="N223">
        <v>10</v>
      </c>
      <c r="O223">
        <v>5</v>
      </c>
    </row>
    <row r="224" spans="13:15" x14ac:dyDescent="0.35">
      <c r="M224">
        <v>13</v>
      </c>
      <c r="N224">
        <v>11</v>
      </c>
      <c r="O224">
        <v>3</v>
      </c>
    </row>
    <row r="225" spans="13:15" x14ac:dyDescent="0.35">
      <c r="M225">
        <v>133</v>
      </c>
      <c r="N225">
        <v>16</v>
      </c>
      <c r="O225">
        <v>1</v>
      </c>
    </row>
    <row r="226" spans="13:15" x14ac:dyDescent="0.35">
      <c r="M226">
        <v>23</v>
      </c>
      <c r="N226">
        <v>7</v>
      </c>
      <c r="O226">
        <v>2</v>
      </c>
    </row>
    <row r="227" spans="13:15" x14ac:dyDescent="0.35">
      <c r="M227">
        <v>51</v>
      </c>
      <c r="N227">
        <v>19</v>
      </c>
      <c r="O227">
        <v>2</v>
      </c>
    </row>
    <row r="228" spans="13:15" x14ac:dyDescent="0.35">
      <c r="M228">
        <v>92</v>
      </c>
      <c r="N228">
        <v>4</v>
      </c>
      <c r="O228">
        <v>5</v>
      </c>
    </row>
    <row r="229" spans="13:15" x14ac:dyDescent="0.35">
      <c r="M229">
        <v>7</v>
      </c>
      <c r="N229">
        <v>15</v>
      </c>
      <c r="O229">
        <v>1</v>
      </c>
    </row>
    <row r="230" spans="13:15" x14ac:dyDescent="0.35">
      <c r="M230">
        <v>187</v>
      </c>
      <c r="N230">
        <v>19</v>
      </c>
      <c r="O230">
        <v>4</v>
      </c>
    </row>
    <row r="231" spans="13:15" x14ac:dyDescent="0.35">
      <c r="M231">
        <v>113</v>
      </c>
      <c r="N231">
        <v>6</v>
      </c>
      <c r="O231">
        <v>1</v>
      </c>
    </row>
    <row r="232" spans="13:15" x14ac:dyDescent="0.35">
      <c r="M232">
        <v>175</v>
      </c>
      <c r="N232">
        <v>20</v>
      </c>
      <c r="O232">
        <v>2</v>
      </c>
    </row>
    <row r="233" spans="13:15" x14ac:dyDescent="0.35">
      <c r="M233">
        <v>24</v>
      </c>
      <c r="N233">
        <v>7</v>
      </c>
      <c r="O233">
        <v>5</v>
      </c>
    </row>
    <row r="234" spans="13:15" x14ac:dyDescent="0.35">
      <c r="M234">
        <v>48</v>
      </c>
      <c r="N234">
        <v>8</v>
      </c>
      <c r="O234">
        <v>3</v>
      </c>
    </row>
    <row r="235" spans="13:15" x14ac:dyDescent="0.35">
      <c r="M235">
        <v>165</v>
      </c>
      <c r="N235">
        <v>14</v>
      </c>
      <c r="O235">
        <v>4</v>
      </c>
    </row>
    <row r="236" spans="13:15" x14ac:dyDescent="0.35">
      <c r="M236">
        <v>166</v>
      </c>
      <c r="N236">
        <v>4</v>
      </c>
      <c r="O236">
        <v>5</v>
      </c>
    </row>
    <row r="237" spans="13:15" x14ac:dyDescent="0.35">
      <c r="M237">
        <v>60</v>
      </c>
      <c r="N237">
        <v>16</v>
      </c>
      <c r="O237">
        <v>2</v>
      </c>
    </row>
    <row r="238" spans="13:15" x14ac:dyDescent="0.35">
      <c r="M238">
        <v>96</v>
      </c>
      <c r="N238">
        <v>8</v>
      </c>
      <c r="O238">
        <v>5</v>
      </c>
    </row>
    <row r="239" spans="13:15" x14ac:dyDescent="0.35">
      <c r="M239">
        <v>45</v>
      </c>
      <c r="N239">
        <v>1</v>
      </c>
      <c r="O239">
        <v>3</v>
      </c>
    </row>
    <row r="240" spans="13:15" x14ac:dyDescent="0.35">
      <c r="M240">
        <v>136</v>
      </c>
      <c r="N240">
        <v>20</v>
      </c>
      <c r="O240">
        <v>3</v>
      </c>
    </row>
    <row r="241" spans="13:15" x14ac:dyDescent="0.35">
      <c r="M241">
        <v>61</v>
      </c>
      <c r="N241">
        <v>15</v>
      </c>
      <c r="O241">
        <v>4</v>
      </c>
    </row>
    <row r="242" spans="13:15" x14ac:dyDescent="0.35">
      <c r="M242">
        <v>44</v>
      </c>
      <c r="N242">
        <v>6</v>
      </c>
      <c r="O242">
        <v>2</v>
      </c>
    </row>
    <row r="243" spans="13:15" x14ac:dyDescent="0.35">
      <c r="M243">
        <v>123</v>
      </c>
      <c r="N243">
        <v>10</v>
      </c>
      <c r="O243">
        <v>4</v>
      </c>
    </row>
    <row r="244" spans="13:15" x14ac:dyDescent="0.35">
      <c r="M244">
        <v>194</v>
      </c>
      <c r="N244">
        <v>5</v>
      </c>
      <c r="O244">
        <v>4</v>
      </c>
    </row>
    <row r="245" spans="13:15" x14ac:dyDescent="0.35">
      <c r="M245">
        <v>121</v>
      </c>
      <c r="N245">
        <v>6</v>
      </c>
      <c r="O245">
        <v>1</v>
      </c>
    </row>
    <row r="246" spans="13:15" x14ac:dyDescent="0.35">
      <c r="M246">
        <v>57</v>
      </c>
      <c r="N246">
        <v>10</v>
      </c>
      <c r="O246">
        <v>3</v>
      </c>
    </row>
    <row r="247" spans="13:15" x14ac:dyDescent="0.35">
      <c r="M247">
        <v>113</v>
      </c>
      <c r="N247">
        <v>3</v>
      </c>
      <c r="O247">
        <v>1</v>
      </c>
    </row>
    <row r="248" spans="13:15" x14ac:dyDescent="0.35">
      <c r="M248">
        <v>178</v>
      </c>
      <c r="N248">
        <v>22</v>
      </c>
      <c r="O248">
        <v>1</v>
      </c>
    </row>
    <row r="249" spans="13:15" x14ac:dyDescent="0.35">
      <c r="M249">
        <v>119</v>
      </c>
      <c r="N249">
        <v>20</v>
      </c>
      <c r="O249">
        <v>1</v>
      </c>
    </row>
    <row r="250" spans="13:15" x14ac:dyDescent="0.35">
      <c r="M250">
        <v>6</v>
      </c>
      <c r="N250">
        <v>23</v>
      </c>
      <c r="O250">
        <v>2</v>
      </c>
    </row>
    <row r="251" spans="13:15" x14ac:dyDescent="0.35">
      <c r="M251">
        <v>95</v>
      </c>
      <c r="N251">
        <v>12</v>
      </c>
      <c r="O251">
        <v>1</v>
      </c>
    </row>
    <row r="252" spans="13:15" x14ac:dyDescent="0.35">
      <c r="M252">
        <v>37</v>
      </c>
      <c r="N252">
        <v>2</v>
      </c>
      <c r="O252">
        <v>2</v>
      </c>
    </row>
    <row r="253" spans="13:15" x14ac:dyDescent="0.35">
      <c r="M253">
        <v>79</v>
      </c>
      <c r="N253">
        <v>5</v>
      </c>
      <c r="O253">
        <v>4</v>
      </c>
    </row>
    <row r="254" spans="13:15" x14ac:dyDescent="0.35">
      <c r="M254">
        <v>148</v>
      </c>
      <c r="N254">
        <v>2</v>
      </c>
      <c r="O254">
        <v>3</v>
      </c>
    </row>
    <row r="255" spans="13:15" x14ac:dyDescent="0.35">
      <c r="M255">
        <v>106</v>
      </c>
      <c r="N255">
        <v>20</v>
      </c>
      <c r="O255">
        <v>5</v>
      </c>
    </row>
    <row r="256" spans="13:15" x14ac:dyDescent="0.35">
      <c r="M256">
        <v>182</v>
      </c>
      <c r="N256">
        <v>21</v>
      </c>
      <c r="O256">
        <v>5</v>
      </c>
    </row>
    <row r="257" spans="13:15" x14ac:dyDescent="0.35">
      <c r="M257">
        <v>13</v>
      </c>
      <c r="N257">
        <v>21</v>
      </c>
      <c r="O257">
        <v>4</v>
      </c>
    </row>
    <row r="258" spans="13:15" x14ac:dyDescent="0.35">
      <c r="M258">
        <v>3</v>
      </c>
      <c r="N258">
        <v>4</v>
      </c>
      <c r="O258">
        <v>4</v>
      </c>
    </row>
    <row r="259" spans="13:15" x14ac:dyDescent="0.35">
      <c r="M259">
        <v>56</v>
      </c>
      <c r="N259">
        <v>4</v>
      </c>
      <c r="O259">
        <v>1</v>
      </c>
    </row>
    <row r="260" spans="13:15" x14ac:dyDescent="0.35">
      <c r="M260">
        <v>143</v>
      </c>
      <c r="N260">
        <v>1</v>
      </c>
      <c r="O260">
        <v>3</v>
      </c>
    </row>
    <row r="261" spans="13:15" x14ac:dyDescent="0.35">
      <c r="M261">
        <v>158</v>
      </c>
      <c r="N261">
        <v>12</v>
      </c>
      <c r="O261">
        <v>5</v>
      </c>
    </row>
    <row r="262" spans="13:15" x14ac:dyDescent="0.35">
      <c r="M262">
        <v>84</v>
      </c>
      <c r="N262">
        <v>10</v>
      </c>
      <c r="O262">
        <v>2</v>
      </c>
    </row>
    <row r="263" spans="13:15" x14ac:dyDescent="0.35">
      <c r="M263">
        <v>161</v>
      </c>
      <c r="N263">
        <v>25</v>
      </c>
      <c r="O263">
        <v>1</v>
      </c>
    </row>
    <row r="264" spans="13:15" x14ac:dyDescent="0.35">
      <c r="M264">
        <v>24</v>
      </c>
      <c r="N264">
        <v>11</v>
      </c>
      <c r="O264">
        <v>3</v>
      </c>
    </row>
    <row r="265" spans="13:15" x14ac:dyDescent="0.35">
      <c r="M265">
        <v>66</v>
      </c>
      <c r="N265">
        <v>3</v>
      </c>
      <c r="O265">
        <v>3</v>
      </c>
    </row>
    <row r="266" spans="13:15" x14ac:dyDescent="0.35">
      <c r="M266">
        <v>196</v>
      </c>
      <c r="N266">
        <v>18</v>
      </c>
      <c r="O266">
        <v>2</v>
      </c>
    </row>
    <row r="267" spans="13:15" x14ac:dyDescent="0.35">
      <c r="M267">
        <v>141</v>
      </c>
      <c r="N267">
        <v>25</v>
      </c>
      <c r="O267">
        <v>1</v>
      </c>
    </row>
    <row r="268" spans="13:15" x14ac:dyDescent="0.35">
      <c r="M268">
        <v>86</v>
      </c>
      <c r="N268">
        <v>11</v>
      </c>
      <c r="O268">
        <v>4</v>
      </c>
    </row>
    <row r="269" spans="13:15" x14ac:dyDescent="0.35">
      <c r="M269">
        <v>91</v>
      </c>
      <c r="N269">
        <v>12</v>
      </c>
      <c r="O269">
        <v>2</v>
      </c>
    </row>
    <row r="270" spans="13:15" x14ac:dyDescent="0.35">
      <c r="M270">
        <v>119</v>
      </c>
      <c r="N270">
        <v>18</v>
      </c>
      <c r="O270">
        <v>2</v>
      </c>
    </row>
    <row r="271" spans="13:15" x14ac:dyDescent="0.35">
      <c r="M271">
        <v>49</v>
      </c>
      <c r="N271">
        <v>13</v>
      </c>
      <c r="O271">
        <v>3</v>
      </c>
    </row>
    <row r="272" spans="13:15" x14ac:dyDescent="0.35">
      <c r="M272">
        <v>118</v>
      </c>
      <c r="N272">
        <v>15</v>
      </c>
      <c r="O272">
        <v>3</v>
      </c>
    </row>
    <row r="273" spans="13:15" x14ac:dyDescent="0.35">
      <c r="M273">
        <v>31</v>
      </c>
      <c r="N273">
        <v>12</v>
      </c>
      <c r="O273">
        <v>3</v>
      </c>
    </row>
    <row r="274" spans="13:15" x14ac:dyDescent="0.35">
      <c r="M274">
        <v>117</v>
      </c>
      <c r="N274">
        <v>1</v>
      </c>
      <c r="O274">
        <v>5</v>
      </c>
    </row>
    <row r="275" spans="13:15" x14ac:dyDescent="0.35">
      <c r="M275">
        <v>21</v>
      </c>
      <c r="N275">
        <v>18</v>
      </c>
      <c r="O275">
        <v>1</v>
      </c>
    </row>
    <row r="276" spans="13:15" x14ac:dyDescent="0.35">
      <c r="M276">
        <v>59</v>
      </c>
      <c r="N276">
        <v>4</v>
      </c>
      <c r="O276">
        <v>4</v>
      </c>
    </row>
    <row r="277" spans="13:15" x14ac:dyDescent="0.35">
      <c r="M277">
        <v>40</v>
      </c>
      <c r="N277">
        <v>19</v>
      </c>
      <c r="O277">
        <v>2</v>
      </c>
    </row>
    <row r="278" spans="13:15" x14ac:dyDescent="0.35">
      <c r="M278">
        <v>81</v>
      </c>
      <c r="N278">
        <v>6</v>
      </c>
      <c r="O278">
        <v>3</v>
      </c>
    </row>
    <row r="279" spans="13:15" x14ac:dyDescent="0.35">
      <c r="M279">
        <v>10</v>
      </c>
      <c r="N279">
        <v>24</v>
      </c>
      <c r="O279">
        <v>4</v>
      </c>
    </row>
    <row r="280" spans="13:15" x14ac:dyDescent="0.35">
      <c r="M280">
        <v>112</v>
      </c>
      <c r="N280">
        <v>18</v>
      </c>
      <c r="O280">
        <v>2</v>
      </c>
    </row>
    <row r="281" spans="13:15" x14ac:dyDescent="0.35">
      <c r="M281">
        <v>195</v>
      </c>
      <c r="N281">
        <v>3</v>
      </c>
      <c r="O281">
        <v>2</v>
      </c>
    </row>
    <row r="282" spans="13:15" x14ac:dyDescent="0.35">
      <c r="M282">
        <v>160</v>
      </c>
      <c r="N282">
        <v>6</v>
      </c>
      <c r="O282">
        <v>4</v>
      </c>
    </row>
    <row r="283" spans="13:15" x14ac:dyDescent="0.35">
      <c r="M283">
        <v>97</v>
      </c>
      <c r="N283">
        <v>14</v>
      </c>
      <c r="O283">
        <v>5</v>
      </c>
    </row>
    <row r="284" spans="13:15" x14ac:dyDescent="0.35">
      <c r="M284">
        <v>145</v>
      </c>
      <c r="N284">
        <v>4</v>
      </c>
      <c r="O284">
        <v>3</v>
      </c>
    </row>
    <row r="285" spans="13:15" x14ac:dyDescent="0.35">
      <c r="M285">
        <v>101</v>
      </c>
      <c r="N285">
        <v>21</v>
      </c>
      <c r="O285">
        <v>4</v>
      </c>
    </row>
    <row r="286" spans="13:15" x14ac:dyDescent="0.35">
      <c r="M286">
        <v>2</v>
      </c>
      <c r="N286">
        <v>23</v>
      </c>
      <c r="O286">
        <v>3</v>
      </c>
    </row>
    <row r="287" spans="13:15" x14ac:dyDescent="0.35">
      <c r="M287">
        <v>17</v>
      </c>
      <c r="N287">
        <v>11</v>
      </c>
      <c r="O287">
        <v>5</v>
      </c>
    </row>
    <row r="288" spans="13:15" x14ac:dyDescent="0.35">
      <c r="M288">
        <v>188</v>
      </c>
      <c r="N288">
        <v>7</v>
      </c>
      <c r="O288">
        <v>3</v>
      </c>
    </row>
    <row r="289" spans="13:15" x14ac:dyDescent="0.35">
      <c r="M289">
        <v>171</v>
      </c>
      <c r="N289">
        <v>21</v>
      </c>
      <c r="O289">
        <v>4</v>
      </c>
    </row>
    <row r="290" spans="13:15" x14ac:dyDescent="0.35">
      <c r="M290">
        <v>1</v>
      </c>
      <c r="N290">
        <v>25</v>
      </c>
      <c r="O290">
        <v>3</v>
      </c>
    </row>
    <row r="291" spans="13:15" x14ac:dyDescent="0.35">
      <c r="M291">
        <v>21</v>
      </c>
      <c r="N291">
        <v>11</v>
      </c>
      <c r="O291">
        <v>4</v>
      </c>
    </row>
    <row r="292" spans="13:15" x14ac:dyDescent="0.35">
      <c r="M292">
        <v>119</v>
      </c>
      <c r="N292">
        <v>8</v>
      </c>
      <c r="O292">
        <v>4</v>
      </c>
    </row>
    <row r="293" spans="13:15" x14ac:dyDescent="0.35">
      <c r="M293">
        <v>107</v>
      </c>
      <c r="N293">
        <v>22</v>
      </c>
      <c r="O293">
        <v>3</v>
      </c>
    </row>
    <row r="294" spans="13:15" x14ac:dyDescent="0.35">
      <c r="M294">
        <v>63</v>
      </c>
      <c r="N294">
        <v>24</v>
      </c>
      <c r="O294">
        <v>1</v>
      </c>
    </row>
    <row r="295" spans="13:15" x14ac:dyDescent="0.35">
      <c r="M295">
        <v>111</v>
      </c>
      <c r="N295">
        <v>4</v>
      </c>
      <c r="O295">
        <v>2</v>
      </c>
    </row>
    <row r="296" spans="13:15" x14ac:dyDescent="0.35">
      <c r="M296">
        <v>62</v>
      </c>
      <c r="N296">
        <v>5</v>
      </c>
      <c r="O296">
        <v>3</v>
      </c>
    </row>
    <row r="297" spans="13:15" x14ac:dyDescent="0.35">
      <c r="M297">
        <v>101</v>
      </c>
      <c r="N297">
        <v>16</v>
      </c>
      <c r="O297">
        <v>2</v>
      </c>
    </row>
    <row r="298" spans="13:15" x14ac:dyDescent="0.35">
      <c r="M298">
        <v>124</v>
      </c>
      <c r="N298">
        <v>6</v>
      </c>
      <c r="O298">
        <v>4</v>
      </c>
    </row>
    <row r="299" spans="13:15" x14ac:dyDescent="0.35">
      <c r="M299">
        <v>195</v>
      </c>
      <c r="N299">
        <v>11</v>
      </c>
      <c r="O299">
        <v>5</v>
      </c>
    </row>
    <row r="300" spans="13:15" x14ac:dyDescent="0.35">
      <c r="M300">
        <v>46</v>
      </c>
      <c r="N300">
        <v>24</v>
      </c>
      <c r="O300">
        <v>4</v>
      </c>
    </row>
    <row r="301" spans="13:15" x14ac:dyDescent="0.35">
      <c r="M301">
        <v>37</v>
      </c>
      <c r="N301">
        <v>15</v>
      </c>
      <c r="O301">
        <v>1</v>
      </c>
    </row>
    <row r="302" spans="13:15" x14ac:dyDescent="0.35">
      <c r="M302">
        <v>159</v>
      </c>
      <c r="N302">
        <v>25</v>
      </c>
      <c r="O302">
        <v>3</v>
      </c>
    </row>
    <row r="303" spans="13:15" x14ac:dyDescent="0.35">
      <c r="M303">
        <v>56</v>
      </c>
      <c r="N303">
        <v>24</v>
      </c>
      <c r="O303">
        <v>5</v>
      </c>
    </row>
    <row r="304" spans="13:15" x14ac:dyDescent="0.35">
      <c r="M304">
        <v>8</v>
      </c>
      <c r="N304">
        <v>12</v>
      </c>
      <c r="O304">
        <v>2</v>
      </c>
    </row>
    <row r="305" spans="13:15" x14ac:dyDescent="0.35">
      <c r="M305">
        <v>161</v>
      </c>
      <c r="N305">
        <v>13</v>
      </c>
      <c r="O305">
        <v>5</v>
      </c>
    </row>
    <row r="306" spans="13:15" x14ac:dyDescent="0.35">
      <c r="M306">
        <v>92</v>
      </c>
      <c r="N306">
        <v>22</v>
      </c>
      <c r="O306">
        <v>4</v>
      </c>
    </row>
    <row r="307" spans="13:15" x14ac:dyDescent="0.35">
      <c r="M307">
        <v>78</v>
      </c>
      <c r="N307">
        <v>22</v>
      </c>
      <c r="O307">
        <v>5</v>
      </c>
    </row>
    <row r="308" spans="13:15" x14ac:dyDescent="0.35">
      <c r="M308">
        <v>192</v>
      </c>
      <c r="N308">
        <v>19</v>
      </c>
      <c r="O308">
        <v>4</v>
      </c>
    </row>
    <row r="309" spans="13:15" x14ac:dyDescent="0.35">
      <c r="M309">
        <v>143</v>
      </c>
      <c r="N309">
        <v>11</v>
      </c>
      <c r="O309">
        <v>5</v>
      </c>
    </row>
    <row r="310" spans="13:15" x14ac:dyDescent="0.35">
      <c r="M310">
        <v>149</v>
      </c>
      <c r="N310">
        <v>17</v>
      </c>
      <c r="O310">
        <v>2</v>
      </c>
    </row>
    <row r="311" spans="13:15" x14ac:dyDescent="0.35">
      <c r="M311">
        <v>90</v>
      </c>
      <c r="N311">
        <v>14</v>
      </c>
      <c r="O311">
        <v>3</v>
      </c>
    </row>
    <row r="312" spans="13:15" x14ac:dyDescent="0.35">
      <c r="M312">
        <v>87</v>
      </c>
      <c r="N312">
        <v>10</v>
      </c>
      <c r="O312">
        <v>1</v>
      </c>
    </row>
    <row r="313" spans="13:15" x14ac:dyDescent="0.35">
      <c r="M313">
        <v>6</v>
      </c>
      <c r="N313">
        <v>10</v>
      </c>
      <c r="O313">
        <v>4</v>
      </c>
    </row>
    <row r="314" spans="13:15" x14ac:dyDescent="0.35">
      <c r="M314">
        <v>67</v>
      </c>
      <c r="N314">
        <v>16</v>
      </c>
      <c r="O314">
        <v>1</v>
      </c>
    </row>
    <row r="315" spans="13:15" x14ac:dyDescent="0.35">
      <c r="M315">
        <v>170</v>
      </c>
      <c r="N315">
        <v>14</v>
      </c>
      <c r="O315">
        <v>5</v>
      </c>
    </row>
    <row r="316" spans="13:15" x14ac:dyDescent="0.35">
      <c r="M316">
        <v>13</v>
      </c>
      <c r="N316">
        <v>18</v>
      </c>
      <c r="O316">
        <v>3</v>
      </c>
    </row>
    <row r="317" spans="13:15" x14ac:dyDescent="0.35">
      <c r="M317">
        <v>140</v>
      </c>
      <c r="N317">
        <v>11</v>
      </c>
      <c r="O317">
        <v>5</v>
      </c>
    </row>
    <row r="318" spans="13:15" x14ac:dyDescent="0.35">
      <c r="M318">
        <v>146</v>
      </c>
      <c r="N318">
        <v>13</v>
      </c>
      <c r="O318">
        <v>2</v>
      </c>
    </row>
    <row r="319" spans="13:15" x14ac:dyDescent="0.35">
      <c r="M319">
        <v>87</v>
      </c>
      <c r="N319">
        <v>14</v>
      </c>
      <c r="O319">
        <v>1</v>
      </c>
    </row>
    <row r="320" spans="13:15" x14ac:dyDescent="0.35">
      <c r="M320">
        <v>175</v>
      </c>
      <c r="N320">
        <v>23</v>
      </c>
      <c r="O320">
        <v>2</v>
      </c>
    </row>
    <row r="321" spans="13:15" x14ac:dyDescent="0.35">
      <c r="M321">
        <v>23</v>
      </c>
      <c r="N321">
        <v>5</v>
      </c>
      <c r="O321">
        <v>5</v>
      </c>
    </row>
    <row r="322" spans="13:15" x14ac:dyDescent="0.35">
      <c r="M322">
        <v>118</v>
      </c>
      <c r="N322">
        <v>16</v>
      </c>
      <c r="O322">
        <v>2</v>
      </c>
    </row>
    <row r="323" spans="13:15" x14ac:dyDescent="0.35">
      <c r="M323">
        <v>96</v>
      </c>
      <c r="N323">
        <v>19</v>
      </c>
      <c r="O323">
        <v>3</v>
      </c>
    </row>
    <row r="324" spans="13:15" x14ac:dyDescent="0.35">
      <c r="M324">
        <v>147</v>
      </c>
      <c r="N324">
        <v>22</v>
      </c>
      <c r="O324">
        <v>3</v>
      </c>
    </row>
    <row r="325" spans="13:15" x14ac:dyDescent="0.35">
      <c r="M325">
        <v>75</v>
      </c>
      <c r="N325">
        <v>16</v>
      </c>
      <c r="O325">
        <v>2</v>
      </c>
    </row>
    <row r="326" spans="13:15" x14ac:dyDescent="0.35">
      <c r="M326">
        <v>169</v>
      </c>
      <c r="N326">
        <v>24</v>
      </c>
      <c r="O326">
        <v>3</v>
      </c>
    </row>
    <row r="327" spans="13:15" x14ac:dyDescent="0.35">
      <c r="M327">
        <v>189</v>
      </c>
      <c r="N327">
        <v>2</v>
      </c>
      <c r="O327">
        <v>1</v>
      </c>
    </row>
    <row r="328" spans="13:15" x14ac:dyDescent="0.35">
      <c r="M328">
        <v>60</v>
      </c>
      <c r="N328">
        <v>17</v>
      </c>
      <c r="O328">
        <v>2</v>
      </c>
    </row>
    <row r="329" spans="13:15" x14ac:dyDescent="0.35">
      <c r="M329">
        <v>102</v>
      </c>
      <c r="N329">
        <v>24</v>
      </c>
      <c r="O329">
        <v>4</v>
      </c>
    </row>
    <row r="330" spans="13:15" x14ac:dyDescent="0.35">
      <c r="M330">
        <v>171</v>
      </c>
      <c r="N330">
        <v>7</v>
      </c>
      <c r="O330">
        <v>3</v>
      </c>
    </row>
    <row r="331" spans="13:15" x14ac:dyDescent="0.35">
      <c r="M331">
        <v>157</v>
      </c>
      <c r="N331">
        <v>2</v>
      </c>
      <c r="O331">
        <v>2</v>
      </c>
    </row>
    <row r="332" spans="13:15" x14ac:dyDescent="0.35">
      <c r="M332">
        <v>95</v>
      </c>
      <c r="N332">
        <v>3</v>
      </c>
      <c r="O332">
        <v>4</v>
      </c>
    </row>
    <row r="333" spans="13:15" x14ac:dyDescent="0.35">
      <c r="M333">
        <v>139</v>
      </c>
      <c r="N333">
        <v>9</v>
      </c>
      <c r="O333">
        <v>4</v>
      </c>
    </row>
    <row r="334" spans="13:15" x14ac:dyDescent="0.35">
      <c r="M334">
        <v>75</v>
      </c>
      <c r="N334">
        <v>14</v>
      </c>
      <c r="O334">
        <v>2</v>
      </c>
    </row>
    <row r="335" spans="13:15" x14ac:dyDescent="0.35">
      <c r="M335">
        <v>180</v>
      </c>
      <c r="N335">
        <v>4</v>
      </c>
      <c r="O335">
        <v>5</v>
      </c>
    </row>
    <row r="336" spans="13:15" x14ac:dyDescent="0.35">
      <c r="M336">
        <v>57</v>
      </c>
      <c r="N336">
        <v>15</v>
      </c>
      <c r="O336">
        <v>1</v>
      </c>
    </row>
    <row r="337" spans="13:15" x14ac:dyDescent="0.35">
      <c r="M337">
        <v>40</v>
      </c>
      <c r="N337">
        <v>12</v>
      </c>
      <c r="O337">
        <v>4</v>
      </c>
    </row>
    <row r="338" spans="13:15" x14ac:dyDescent="0.35">
      <c r="M338">
        <v>128</v>
      </c>
      <c r="N338">
        <v>3</v>
      </c>
      <c r="O338">
        <v>2</v>
      </c>
    </row>
    <row r="339" spans="13:15" x14ac:dyDescent="0.35">
      <c r="M339">
        <v>53</v>
      </c>
      <c r="N339">
        <v>14</v>
      </c>
      <c r="O339">
        <v>2</v>
      </c>
    </row>
    <row r="340" spans="13:15" x14ac:dyDescent="0.35">
      <c r="M340">
        <v>13</v>
      </c>
      <c r="N340">
        <v>20</v>
      </c>
      <c r="O340">
        <v>4</v>
      </c>
    </row>
    <row r="341" spans="13:15" x14ac:dyDescent="0.35">
      <c r="M341">
        <v>76</v>
      </c>
      <c r="N341">
        <v>2</v>
      </c>
      <c r="O341">
        <v>4</v>
      </c>
    </row>
    <row r="342" spans="13:15" x14ac:dyDescent="0.35">
      <c r="M342">
        <v>123</v>
      </c>
      <c r="N342">
        <v>23</v>
      </c>
      <c r="O342">
        <v>2</v>
      </c>
    </row>
    <row r="343" spans="13:15" x14ac:dyDescent="0.35">
      <c r="M343">
        <v>200</v>
      </c>
      <c r="N343">
        <v>4</v>
      </c>
      <c r="O343">
        <v>2</v>
      </c>
    </row>
    <row r="344" spans="13:15" x14ac:dyDescent="0.35">
      <c r="M344">
        <v>146</v>
      </c>
      <c r="N344">
        <v>18</v>
      </c>
      <c r="O344">
        <v>3</v>
      </c>
    </row>
    <row r="345" spans="13:15" x14ac:dyDescent="0.35">
      <c r="M345">
        <v>51</v>
      </c>
      <c r="N345">
        <v>8</v>
      </c>
      <c r="O345">
        <v>3</v>
      </c>
    </row>
    <row r="346" spans="13:15" x14ac:dyDescent="0.35">
      <c r="M346">
        <v>78</v>
      </c>
      <c r="N346">
        <v>19</v>
      </c>
      <c r="O346">
        <v>5</v>
      </c>
    </row>
    <row r="347" spans="13:15" x14ac:dyDescent="0.35">
      <c r="M347">
        <v>174</v>
      </c>
      <c r="N347">
        <v>2</v>
      </c>
      <c r="O347">
        <v>3</v>
      </c>
    </row>
    <row r="348" spans="13:15" x14ac:dyDescent="0.35">
      <c r="M348">
        <v>27</v>
      </c>
      <c r="N348">
        <v>10</v>
      </c>
      <c r="O348">
        <v>2</v>
      </c>
    </row>
    <row r="349" spans="13:15" x14ac:dyDescent="0.35">
      <c r="M349">
        <v>22</v>
      </c>
      <c r="N349">
        <v>20</v>
      </c>
      <c r="O349">
        <v>4</v>
      </c>
    </row>
    <row r="350" spans="13:15" x14ac:dyDescent="0.35">
      <c r="M350">
        <v>114</v>
      </c>
      <c r="N350">
        <v>8</v>
      </c>
      <c r="O350">
        <v>1</v>
      </c>
    </row>
    <row r="351" spans="13:15" x14ac:dyDescent="0.35">
      <c r="M351">
        <v>15</v>
      </c>
      <c r="N351">
        <v>12</v>
      </c>
      <c r="O351">
        <v>1</v>
      </c>
    </row>
    <row r="352" spans="13:15" x14ac:dyDescent="0.35">
      <c r="M352">
        <v>127</v>
      </c>
      <c r="N352">
        <v>20</v>
      </c>
      <c r="O352">
        <v>5</v>
      </c>
    </row>
    <row r="353" spans="13:15" x14ac:dyDescent="0.35">
      <c r="M353">
        <v>72</v>
      </c>
      <c r="N353">
        <v>5</v>
      </c>
      <c r="O353">
        <v>1</v>
      </c>
    </row>
    <row r="354" spans="13:15" x14ac:dyDescent="0.35">
      <c r="M354">
        <v>80</v>
      </c>
      <c r="N354">
        <v>23</v>
      </c>
      <c r="O354">
        <v>2</v>
      </c>
    </row>
    <row r="355" spans="13:15" x14ac:dyDescent="0.35">
      <c r="M355">
        <v>115</v>
      </c>
      <c r="N355">
        <v>21</v>
      </c>
      <c r="O355">
        <v>2</v>
      </c>
    </row>
    <row r="356" spans="13:15" x14ac:dyDescent="0.35">
      <c r="M356">
        <v>122</v>
      </c>
      <c r="N356">
        <v>24</v>
      </c>
      <c r="O356">
        <v>4</v>
      </c>
    </row>
    <row r="357" spans="13:15" x14ac:dyDescent="0.35">
      <c r="M357">
        <v>184</v>
      </c>
      <c r="N357">
        <v>4</v>
      </c>
      <c r="O357">
        <v>2</v>
      </c>
    </row>
    <row r="358" spans="13:15" x14ac:dyDescent="0.35">
      <c r="M358">
        <v>50</v>
      </c>
      <c r="N358">
        <v>1</v>
      </c>
      <c r="O358">
        <v>1</v>
      </c>
    </row>
    <row r="359" spans="13:15" x14ac:dyDescent="0.35">
      <c r="M359">
        <v>13</v>
      </c>
      <c r="N359">
        <v>1</v>
      </c>
      <c r="O359">
        <v>2</v>
      </c>
    </row>
    <row r="360" spans="13:15" x14ac:dyDescent="0.35">
      <c r="M360">
        <v>89</v>
      </c>
      <c r="N360">
        <v>14</v>
      </c>
      <c r="O360">
        <v>2</v>
      </c>
    </row>
    <row r="361" spans="13:15" x14ac:dyDescent="0.35">
      <c r="M361">
        <v>28</v>
      </c>
      <c r="N361">
        <v>6</v>
      </c>
      <c r="O361">
        <v>3</v>
      </c>
    </row>
    <row r="362" spans="13:15" x14ac:dyDescent="0.35">
      <c r="M362">
        <v>43</v>
      </c>
      <c r="N362">
        <v>18</v>
      </c>
      <c r="O362">
        <v>2</v>
      </c>
    </row>
    <row r="363" spans="13:15" x14ac:dyDescent="0.35">
      <c r="M363">
        <v>22</v>
      </c>
      <c r="N363">
        <v>7</v>
      </c>
      <c r="O363">
        <v>5</v>
      </c>
    </row>
    <row r="364" spans="13:15" x14ac:dyDescent="0.35">
      <c r="M364">
        <v>152</v>
      </c>
      <c r="N364">
        <v>16</v>
      </c>
      <c r="O364">
        <v>5</v>
      </c>
    </row>
    <row r="365" spans="13:15" x14ac:dyDescent="0.35">
      <c r="M365">
        <v>188</v>
      </c>
      <c r="N365">
        <v>21</v>
      </c>
      <c r="O365">
        <v>3</v>
      </c>
    </row>
    <row r="366" spans="13:15" x14ac:dyDescent="0.35">
      <c r="M366">
        <v>200</v>
      </c>
      <c r="N366">
        <v>10</v>
      </c>
      <c r="O366">
        <v>4</v>
      </c>
    </row>
    <row r="367" spans="13:15" x14ac:dyDescent="0.35">
      <c r="M367">
        <v>77</v>
      </c>
      <c r="N367">
        <v>1</v>
      </c>
      <c r="O367">
        <v>5</v>
      </c>
    </row>
    <row r="368" spans="13:15" x14ac:dyDescent="0.35">
      <c r="M368">
        <v>34</v>
      </c>
      <c r="N368">
        <v>22</v>
      </c>
      <c r="O368">
        <v>3</v>
      </c>
    </row>
    <row r="369" spans="13:15" x14ac:dyDescent="0.35">
      <c r="M369">
        <v>49</v>
      </c>
      <c r="N369">
        <v>18</v>
      </c>
      <c r="O369">
        <v>2</v>
      </c>
    </row>
    <row r="370" spans="13:15" x14ac:dyDescent="0.35">
      <c r="M370">
        <v>28</v>
      </c>
      <c r="N370">
        <v>21</v>
      </c>
      <c r="O370">
        <v>2</v>
      </c>
    </row>
    <row r="371" spans="13:15" x14ac:dyDescent="0.35">
      <c r="M371">
        <v>195</v>
      </c>
      <c r="N371">
        <v>24</v>
      </c>
      <c r="O371">
        <v>4</v>
      </c>
    </row>
    <row r="372" spans="13:15" x14ac:dyDescent="0.35">
      <c r="M372">
        <v>106</v>
      </c>
      <c r="N372">
        <v>4</v>
      </c>
      <c r="O372">
        <v>4</v>
      </c>
    </row>
    <row r="373" spans="13:15" x14ac:dyDescent="0.35">
      <c r="M373">
        <v>80</v>
      </c>
      <c r="N373">
        <v>16</v>
      </c>
      <c r="O373">
        <v>5</v>
      </c>
    </row>
    <row r="374" spans="13:15" x14ac:dyDescent="0.35">
      <c r="M374">
        <v>96</v>
      </c>
      <c r="N374">
        <v>24</v>
      </c>
      <c r="O374">
        <v>2</v>
      </c>
    </row>
    <row r="375" spans="13:15" x14ac:dyDescent="0.35">
      <c r="M375">
        <v>83</v>
      </c>
      <c r="N375">
        <v>20</v>
      </c>
      <c r="O375">
        <v>1</v>
      </c>
    </row>
    <row r="376" spans="13:15" x14ac:dyDescent="0.35">
      <c r="M376">
        <v>23</v>
      </c>
      <c r="N376">
        <v>21</v>
      </c>
      <c r="O376">
        <v>2</v>
      </c>
    </row>
    <row r="377" spans="13:15" x14ac:dyDescent="0.35">
      <c r="M377">
        <v>83</v>
      </c>
      <c r="N377">
        <v>16</v>
      </c>
      <c r="O377">
        <v>1</v>
      </c>
    </row>
    <row r="378" spans="13:15" x14ac:dyDescent="0.35">
      <c r="M378">
        <v>188</v>
      </c>
      <c r="N378">
        <v>2</v>
      </c>
      <c r="O378">
        <v>5</v>
      </c>
    </row>
    <row r="379" spans="13:15" x14ac:dyDescent="0.35">
      <c r="M379">
        <v>35</v>
      </c>
      <c r="N379">
        <v>16</v>
      </c>
      <c r="O379">
        <v>1</v>
      </c>
    </row>
    <row r="380" spans="13:15" x14ac:dyDescent="0.35">
      <c r="M380">
        <v>37</v>
      </c>
      <c r="N380">
        <v>2</v>
      </c>
      <c r="O380">
        <v>5</v>
      </c>
    </row>
    <row r="381" spans="13:15" x14ac:dyDescent="0.35">
      <c r="M381">
        <v>133</v>
      </c>
      <c r="N381">
        <v>7</v>
      </c>
      <c r="O381">
        <v>3</v>
      </c>
    </row>
    <row r="382" spans="13:15" x14ac:dyDescent="0.35">
      <c r="M382">
        <v>2</v>
      </c>
      <c r="N382">
        <v>10</v>
      </c>
      <c r="O382">
        <v>1</v>
      </c>
    </row>
    <row r="383" spans="13:15" x14ac:dyDescent="0.35">
      <c r="M383">
        <v>144</v>
      </c>
      <c r="N383">
        <v>14</v>
      </c>
      <c r="O383">
        <v>1</v>
      </c>
    </row>
    <row r="384" spans="13:15" x14ac:dyDescent="0.35">
      <c r="M384">
        <v>95</v>
      </c>
      <c r="N384">
        <v>1</v>
      </c>
      <c r="O384">
        <v>4</v>
      </c>
    </row>
    <row r="385" spans="13:15" x14ac:dyDescent="0.35">
      <c r="M385">
        <v>102</v>
      </c>
      <c r="N385">
        <v>8</v>
      </c>
      <c r="O385">
        <v>4</v>
      </c>
    </row>
    <row r="386" spans="13:15" x14ac:dyDescent="0.35">
      <c r="M386">
        <v>168</v>
      </c>
      <c r="N386">
        <v>13</v>
      </c>
      <c r="O386">
        <v>1</v>
      </c>
    </row>
    <row r="387" spans="13:15" x14ac:dyDescent="0.35">
      <c r="M387">
        <v>197</v>
      </c>
      <c r="N387">
        <v>24</v>
      </c>
      <c r="O387">
        <v>2</v>
      </c>
    </row>
    <row r="388" spans="13:15" x14ac:dyDescent="0.35">
      <c r="M388">
        <v>139</v>
      </c>
      <c r="N388">
        <v>20</v>
      </c>
      <c r="O388">
        <v>4</v>
      </c>
    </row>
    <row r="389" spans="13:15" x14ac:dyDescent="0.35">
      <c r="M389">
        <v>75</v>
      </c>
      <c r="N389">
        <v>23</v>
      </c>
      <c r="O389">
        <v>1</v>
      </c>
    </row>
    <row r="390" spans="13:15" x14ac:dyDescent="0.35">
      <c r="M390">
        <v>127</v>
      </c>
      <c r="N390">
        <v>20</v>
      </c>
      <c r="O390">
        <v>1</v>
      </c>
    </row>
    <row r="391" spans="13:15" x14ac:dyDescent="0.35">
      <c r="M391">
        <v>100</v>
      </c>
      <c r="N391">
        <v>20</v>
      </c>
      <c r="O391">
        <v>5</v>
      </c>
    </row>
    <row r="392" spans="13:15" x14ac:dyDescent="0.35">
      <c r="M392">
        <v>87</v>
      </c>
      <c r="N392">
        <v>14</v>
      </c>
      <c r="O392">
        <v>5</v>
      </c>
    </row>
    <row r="393" spans="13:15" x14ac:dyDescent="0.35">
      <c r="M393">
        <v>86</v>
      </c>
      <c r="N393">
        <v>6</v>
      </c>
      <c r="O393">
        <v>5</v>
      </c>
    </row>
    <row r="394" spans="13:15" x14ac:dyDescent="0.35">
      <c r="M394">
        <v>102</v>
      </c>
      <c r="N394">
        <v>21</v>
      </c>
      <c r="O394">
        <v>4</v>
      </c>
    </row>
    <row r="395" spans="13:15" x14ac:dyDescent="0.35">
      <c r="M395">
        <v>80</v>
      </c>
      <c r="N395">
        <v>9</v>
      </c>
      <c r="O395">
        <v>5</v>
      </c>
    </row>
    <row r="396" spans="13:15" x14ac:dyDescent="0.35">
      <c r="M396">
        <v>2</v>
      </c>
      <c r="N396">
        <v>18</v>
      </c>
      <c r="O396">
        <v>2</v>
      </c>
    </row>
    <row r="397" spans="13:15" x14ac:dyDescent="0.35">
      <c r="M397">
        <v>129</v>
      </c>
      <c r="N397">
        <v>6</v>
      </c>
      <c r="O397">
        <v>4</v>
      </c>
    </row>
    <row r="398" spans="13:15" x14ac:dyDescent="0.35">
      <c r="M398">
        <v>196</v>
      </c>
      <c r="N398">
        <v>19</v>
      </c>
      <c r="O398">
        <v>3</v>
      </c>
    </row>
    <row r="399" spans="13:15" x14ac:dyDescent="0.35">
      <c r="M399">
        <v>85</v>
      </c>
      <c r="N399">
        <v>23</v>
      </c>
      <c r="O399">
        <v>3</v>
      </c>
    </row>
    <row r="400" spans="13:15" x14ac:dyDescent="0.35">
      <c r="M400">
        <v>98</v>
      </c>
      <c r="N400">
        <v>16</v>
      </c>
      <c r="O400">
        <v>2</v>
      </c>
    </row>
    <row r="401" spans="13:15" x14ac:dyDescent="0.35">
      <c r="M401">
        <v>2</v>
      </c>
      <c r="N401">
        <v>6</v>
      </c>
      <c r="O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ORDERS</vt:lpstr>
      <vt:lpstr>PRODUCTS</vt:lpstr>
      <vt:lpstr>ORDER DETAILS</vt:lpstr>
      <vt:lpstr>STORES</vt:lpstr>
      <vt:lpstr>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PATEL</dc:creator>
  <cp:lastModifiedBy>NIDHI PATEL</cp:lastModifiedBy>
  <dcterms:created xsi:type="dcterms:W3CDTF">2026-03-29T16:10:18Z</dcterms:created>
  <dcterms:modified xsi:type="dcterms:W3CDTF">2026-04-03T15:25:54Z</dcterms:modified>
</cp:coreProperties>
</file>